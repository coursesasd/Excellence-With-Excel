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03_ASD\01_Excel Trainnig\05_SolutionwithExcel\01_Automate Attendance Sheet from MS Team Student Activity logs\"/>
    </mc:Choice>
  </mc:AlternateContent>
  <bookViews>
    <workbookView minimized="1" xWindow="0" yWindow="0" windowWidth="28800" windowHeight="12330" firstSheet="3" activeTab="4"/>
  </bookViews>
  <sheets>
    <sheet name="MITSOE-AERO-2019" sheetId="2" state="hidden" r:id="rId1"/>
    <sheet name="MITSOE-AERO-2018" sheetId="3" state="hidden" r:id="rId2"/>
    <sheet name="MITSOE-AERO-2017" sheetId="4" state="hidden" r:id="rId3"/>
    <sheet name="ReadMe" sheetId="7" r:id="rId4"/>
    <sheet name="AutomatedAttendace" sheetId="5" r:id="rId5"/>
    <sheet name="Attendance" sheetId="10" r:id="rId6"/>
    <sheet name="DailyAttendance" sheetId="11" r:id="rId7"/>
    <sheet name="Output" sheetId="9" state="hidden" r:id="rId8"/>
  </sheets>
  <functionGroups builtInGroupCount="18"/>
  <definedNames>
    <definedName name="_xlnm._FilterDatabase" localSheetId="4" hidden="1">AutomatedAttendace!#REF!</definedName>
    <definedName name="ExternalData_1" localSheetId="5">Attendance!$A$1:$D$56</definedName>
    <definedName name="ExternalData_10" localSheetId="5">Attendance!$A$1:$D$119</definedName>
    <definedName name="ExternalData_11" localSheetId="5">Attendance!$A$1:$D$118</definedName>
    <definedName name="ExternalData_14" localSheetId="5">Attendance!$A$1:$D$56</definedName>
    <definedName name="ExternalData_16" localSheetId="5">Attendance!$A$1:$D$56</definedName>
    <definedName name="ExternalData_17" localSheetId="5">Attendance!$A$1:$D$56</definedName>
    <definedName name="ExternalData_18" localSheetId="5">Attendance!$A$1:$D$118</definedName>
    <definedName name="ExternalData_19" localSheetId="5">Attendance!$A$1:$D$118</definedName>
    <definedName name="ExternalData_2" localSheetId="5">Attendance!$A$1:$D$119</definedName>
    <definedName name="ExternalData_20" localSheetId="5">Attendance!$A$1:$D$118</definedName>
    <definedName name="ExternalData_21" localSheetId="5">Attendance!$A$1:$D$118</definedName>
    <definedName name="ExternalData_23" localSheetId="5">Attendance!$A$1:$D$118</definedName>
    <definedName name="ExternalData_24" localSheetId="5">Attendance!$A$1:$D$118</definedName>
    <definedName name="ExternalData_25" localSheetId="5">Attendance!$A$1:$C$46</definedName>
    <definedName name="ExternalData_26" localSheetId="5">Attendance!$A$1:$C$46</definedName>
    <definedName name="ExternalData_27" localSheetId="5">Attendance!$A$1:$D$46</definedName>
    <definedName name="ExternalData_28" localSheetId="5">Attendance!$A$1:$D$46</definedName>
    <definedName name="ExternalData_3" localSheetId="5">Attendance!$A$1:$D$56</definedName>
    <definedName name="ExternalData_4" localSheetId="5">Attendance!$A$1:$D$56</definedName>
    <definedName name="ExternalData_5" localSheetId="5">Attendance!$A$1:$D$56</definedName>
    <definedName name="ExternalData_6" localSheetId="5">Attendance!$A$1:$D$56</definedName>
    <definedName name="ExternalData_7" localSheetId="5">Attendance!$A$1:$D$15</definedName>
    <definedName name="ExternalData_8" localSheetId="5">Attendance!$A$1:$D$292</definedName>
    <definedName name="ExternalData_9" localSheetId="5">Attendance!$A$1:$D$61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0" i="5" l="1"/>
  <c r="G1" i="11" s="1"/>
  <c r="F1" i="9" l="1"/>
  <c r="F93" i="9"/>
  <c r="F2" i="9"/>
  <c r="F61" i="9"/>
  <c r="F88" i="9"/>
  <c r="F12" i="9"/>
  <c r="F79" i="9"/>
  <c r="F43" i="9"/>
  <c r="F36" i="9"/>
  <c r="F58" i="9"/>
  <c r="F84" i="9"/>
  <c r="F57" i="9"/>
  <c r="F53" i="9"/>
  <c r="F71" i="9"/>
  <c r="F51" i="9"/>
  <c r="F68" i="9"/>
  <c r="F91" i="9"/>
  <c r="F98" i="9"/>
  <c r="F46" i="9"/>
  <c r="F73" i="9"/>
  <c r="F7" i="9"/>
  <c r="F85" i="9"/>
  <c r="F17" i="9"/>
  <c r="F60" i="9"/>
  <c r="F63" i="9"/>
  <c r="F54" i="9"/>
  <c r="F25" i="9"/>
  <c r="F87" i="9"/>
  <c r="F101" i="9"/>
  <c r="F77" i="9"/>
  <c r="F18" i="9"/>
  <c r="F62" i="9"/>
  <c r="F47" i="9"/>
  <c r="F45" i="9"/>
  <c r="F99" i="9"/>
  <c r="F83" i="9"/>
  <c r="F37" i="9"/>
  <c r="F59" i="9"/>
  <c r="F95" i="9"/>
  <c r="F5" i="9"/>
  <c r="F16" i="9"/>
  <c r="F66" i="9"/>
  <c r="F64" i="9"/>
  <c r="F78" i="9"/>
  <c r="F13" i="9"/>
  <c r="F56" i="9"/>
  <c r="F30" i="9"/>
  <c r="F15" i="9"/>
  <c r="F70" i="9"/>
  <c r="F41" i="9"/>
  <c r="F4" i="9"/>
  <c r="F23" i="9"/>
  <c r="F44" i="9"/>
  <c r="F55" i="9"/>
  <c r="F40" i="9"/>
  <c r="F81" i="9"/>
  <c r="F24" i="9"/>
  <c r="F19" i="9"/>
  <c r="F52" i="9"/>
  <c r="F86" i="9"/>
  <c r="F100" i="9"/>
  <c r="F22" i="9"/>
  <c r="F76" i="9"/>
  <c r="F35" i="9"/>
  <c r="F11" i="9"/>
  <c r="F90" i="9"/>
  <c r="F69" i="9"/>
  <c r="F26" i="9"/>
  <c r="F27" i="9"/>
  <c r="F9" i="9"/>
  <c r="F6" i="9"/>
  <c r="F89" i="9"/>
  <c r="F94" i="9"/>
  <c r="F33" i="9"/>
  <c r="F48" i="9"/>
  <c r="F82" i="9"/>
  <c r="F10" i="9"/>
  <c r="F97" i="9"/>
  <c r="F32" i="9"/>
  <c r="F28" i="9"/>
  <c r="F49" i="9"/>
  <c r="F92" i="9"/>
  <c r="F3" i="9"/>
  <c r="F39" i="9"/>
  <c r="F50" i="9"/>
  <c r="F80" i="9"/>
  <c r="F72" i="9"/>
  <c r="F20" i="9"/>
  <c r="F74" i="9"/>
  <c r="F21" i="9"/>
  <c r="F14" i="9"/>
  <c r="F42" i="9"/>
  <c r="F38" i="9"/>
  <c r="F75" i="9"/>
  <c r="F65" i="9"/>
  <c r="F67" i="9"/>
  <c r="F31" i="9"/>
  <c r="F96" i="9"/>
  <c r="F29" i="9"/>
  <c r="F8" i="9"/>
  <c r="F34" i="9"/>
</calcChain>
</file>

<file path=xl/connections.xml><?xml version="1.0" encoding="utf-8"?>
<connections xmlns="http://schemas.openxmlformats.org/spreadsheetml/2006/main">
  <connection id="1" name="20-07-16_Attendance_SOFA" type="6" refreshedVersion="6" background="1" saveData="1">
    <textPr prompt="0" sourceFile="D:\03_ASD\01_Excel Trainnig\05_SolutionwithExcel\01_Automate Attendance Sheet from MS Team Student Activity logs\02_Data\20-07-16_Attendance_SOFA.csv" comma="1">
      <textFields>
        <textField/>
      </textFields>
    </textPr>
  </connection>
  <connection id="2" name="20-08-07_MIT ID Attendance List" type="6" refreshedVersion="6" background="1" saveData="1">
    <textPr prompt="0" sourceFile="D:\03_ASD\01_Excel Trainnig\05_SolutionwithExcel\01_Automate Attendance Sheet from MS Team Student Activity logs\02_Data\20-08-07_MIT ID Attendance List.csv" comma="1">
      <textFields>
        <textField/>
      </textFields>
    </textPr>
  </connection>
  <connection id="3" name="False" type="6" refreshedVersion="0" background="1">
    <textPr prompt="0" sourceFile="False">
      <textFields>
        <textField/>
      </textFields>
    </textPr>
  </connection>
  <connection id="4" name="meetingAttendanceList" type="6" refreshedVersion="6" background="1" saveData="1">
    <textPr prompt="0" sourceFile="D:\03_ASD\01_Excel Trainnig\05_SolutionwithExcel\01_Automate Attendance Sheet from MS Team Student Activity logs\02_Data\meetingAttendanceList.csv" comma="1">
      <textFields>
        <textField/>
      </textFields>
    </textPr>
  </connection>
  <connection id="5" name="meetingAttendanceList - 1" type="6" refreshedVersion="6" background="1" saveData="1">
    <textPr prompt="0" sourceFile="D:\03_ASD\01_Excel Trainnig\05_SolutionwithExcel\01_Automate Attendance Sheet from MS Team Student Activity logs\02_Data\meetingAttendanceList - 1.csv" comma="1">
      <textFields>
        <textField/>
      </textFields>
    </textPr>
  </connection>
  <connection id="6" name="meetingAttendanceList - 11" type="6" refreshedVersion="6" background="1" saveData="1">
    <textPr prompt="0" sourceFile="D:\03_ASD\01_Excel Trainnig\05_SolutionwithExcel\01_Automate Attendance Sheet from MS Team Student Activity logs\02_Data\meetingAttendanceList - 1.csv" comma="1">
      <textFields>
        <textField/>
      </textFields>
    </textPr>
  </connection>
  <connection id="7" name="meetingAttendanceList - 12" type="6" refreshedVersion="6" background="1" saveData="1">
    <textPr prompt="0" sourceFile="D:\03_ASD\01_Excel Trainnig\05_SolutionwithExcel\01_Automate Attendance Sheet from MS Team Student Activity logs\02_Data\meetingAttendanceList - 1.csv" comma="1">
      <textFields>
        <textField/>
      </textFields>
    </textPr>
  </connection>
  <connection id="8" name="meetingAttendanceList - 13" type="6" refreshedVersion="6" background="1" saveData="1">
    <textPr prompt="0" sourceFile="D:\03_ASD\01_Excel Trainnig\05_SolutionwithExcel\01_Automate Attendance Sheet from MS Team Student Activity logs\02_Data\meetingAttendanceList - 1.csv" comma="1">
      <textFields>
        <textField/>
      </textFields>
    </textPr>
  </connection>
  <connection id="9" name="meetingAttendanceList - 14" type="6" refreshedVersion="6" background="1" saveData="1">
    <textPr prompt="0" sourceFile="D:\03_ASD\01_Excel Trainnig\05_SolutionwithExcel\01_Automate Attendance Sheet from MS Team Student Activity logs\02_Data\meetingAttendanceList - 1.csv" comma="1">
      <textFields>
        <textField/>
      </textFields>
    </textPr>
  </connection>
  <connection id="10" name="meetingAttendanceList - 15" type="6" refreshedVersion="6" background="1" saveData="1">
    <textPr prompt="0" sourceFile="D:\03_ASD\01_Excel Trainnig\05_SolutionwithExcel\01_Automate Attendance Sheet from MS Team Student Activity logs\02_Data\meetingAttendanceList - 1.csv" comma="1">
      <textFields>
        <textField/>
      </textFields>
    </textPr>
  </connection>
  <connection id="11" name="meetingAttendanceList - 16" type="6" refreshedVersion="6" background="1" saveData="1">
    <textPr prompt="0" sourceFile="D:\03_ASD\01_Excel Trainnig\05_SolutionwithExcel\01_Automate Attendance Sheet from MS Team Student Activity logs\02_Data\meetingAttendanceList - 1.csv" comma="1">
      <textFields>
        <textField/>
      </textFields>
    </textPr>
  </connection>
  <connection id="12" name="meetingAttendanceList - 17" type="6" refreshedVersion="6" background="1" saveData="1">
    <textPr prompt="0" sourceFile="D:\03_ASD\01_Excel Trainnig\05_SolutionwithExcel\01_Automate Attendance Sheet from MS Team Student Activity logs\02_Data\meetingAttendanceList - 1.csv" comma="1">
      <textFields>
        <textField/>
      </textFields>
    </textPr>
  </connection>
  <connection id="13" name="meetingAttendanceList (1)" type="6" refreshedVersion="6" background="1" saveData="1">
    <textPr prompt="0" sourceFile="D:\03_ASD\01_Excel Trainnig\05_SolutionwithExcel\01_Automate Attendance Sheet from MS Team Student Activity logs\02_Data\meetingAttendanceList (1).csv" comma="1">
      <textFields>
        <textField/>
      </textFields>
    </textPr>
  </connection>
  <connection id="14" name="meetingAttendanceList (1)1" type="6" refreshedVersion="6" background="1" saveData="1">
    <textPr prompt="0" sourceFile="D:\03_ASD\01_Excel Trainnig\05_SolutionwithExcel\01_Automate Attendance Sheet from MS Team Student Activity logs\02_Data\meetingAttendanceList (1).csv" comma="1">
      <textFields>
        <textField/>
      </textFields>
    </textPr>
  </connection>
  <connection id="15" name="meetingAttendanceList (3)" type="6" refreshedVersion="6" background="1" saveData="1">
    <textPr prompt="0" sourceFile="D:\03_ASD\01_Excel Trainnig\05_SolutionwithExcel\01_Automate Attendance Sheet from MS Team Student Activity logs\02_Data\meetingAttendanceList (3).csv" comma="1">
      <textFields>
        <textField/>
      </textFields>
    </textPr>
  </connection>
  <connection id="16" name="meetingAttendanceList_1" type="6" refreshedVersion="6" background="1" saveData="1">
    <textPr prompt="0" sourceFile="D:\03_ASD\01_Excel Trainnig\05_SolutionwithExcel\01_Automate Attendance Sheet from MS Team Student Activity logs\02_Data\meetingAttendanceList_1.csv" comma="1">
      <textFields>
        <textField/>
      </textFields>
    </textPr>
  </connection>
  <connection id="17" name="meetingAttendanceList_11" type="6" refreshedVersion="6" background="1" saveData="1">
    <textPr prompt="0" sourceFile="D:\03_ASD\01_Excel Trainnig\05_SolutionwithExcel\01_Automate Attendance Sheet from MS Team Student Activity logs\02_Data\meetingAttendanceList_1.csv" comma="1">
      <textFields>
        <textField/>
      </textFields>
    </textPr>
  </connection>
  <connection id="18" name="meetingAttendanceList_12" type="6" refreshedVersion="6" background="1" saveData="1">
    <textPr prompt="0" sourceFile="D:\03_ASD\01_Excel Trainnig\05_SolutionwithExcel\01_Automate Attendance Sheet from MS Team Student Activity logs\02_Data\meetingAttendanceList_1.csv" comma="1">
      <textFields>
        <textField/>
      </textFields>
    </textPr>
  </connection>
  <connection id="19" name="meetingAttendanceList1" type="6" refreshedVersion="6" background="1" saveData="1">
    <textPr prompt="0" sourceFile="D:\03_ASD\01_Excel Trainnig\05_SolutionwithExcel\01_Automate Attendance Sheet from MS Team Student Activity logs\02_Data\meetingAttendanceList.csv" comma="1">
      <textFields>
        <textField/>
      </textFields>
    </textPr>
  </connection>
  <connection id="20" name="meetingAttendanceList2" type="6" refreshedVersion="6" background="1" saveData="1">
    <textPr prompt="0" sourceFile="D:\03_ASD\01_Excel Trainnig\05_SolutionwithExcel\01_Automate Attendance Sheet from MS Team Student Activity logs\02_Data\meetingAttendanceList.csv" comma="1">
      <textFields>
        <textField/>
      </textFields>
    </textPr>
  </connection>
  <connection id="21" name="meetingAttendanceList3" type="6" refreshedVersion="6" background="1" saveData="1">
    <textPr prompt="0" sourceFile="D:\03_ASD\01_Excel Trainnig\05_SolutionwithExcel\01_Automate Attendance Sheet from MS Team Student Activity logs\02_Data\meetingAttendanceList.csv" comma="1">
      <textFields>
        <textField/>
      </textFields>
    </textPr>
  </connection>
  <connection id="22" name="meetingAttendanceList4" type="6" refreshedVersion="6" background="1" saveData="1">
    <textPr prompt="0" sourceFile="D:\03_ASD\01_Excel Trainnig\05_SolutionwithExcel\01_Automate Attendance Sheet from MS Team Student Activity logs\02_Data\meetingAttendanceList.csv" comma="1">
      <textFields>
        <textField/>
      </textFields>
    </textPr>
  </connection>
  <connection id="23" name="meetingAttendanceList5" type="6" refreshedVersion="6" background="1" saveData="1">
    <textPr prompt="0" sourceFile="D:\03_ASD\01_Excel Trainnig\05_SolutionwithExcel\01_Automate Attendance Sheet from MS Team Student Activity logs\02_Data\meetingAttendanceList.csv" comma="1">
      <textFields>
        <textField/>
      </textFields>
    </textPr>
  </connection>
  <connection id="24" name="meetingAttendanceList6" type="6" refreshedVersion="6" background="1" saveData="1">
    <textPr prompt="0" sourceFile="D:\03_ASD\01_Excel Trainnig\05_SolutionwithExcel\01_Automate Attendance Sheet from MS Team Student Activity logs\02_Data\meetingAttendanceList.csv" comma="1">
      <textFields>
        <textField/>
      </textFields>
    </textPr>
  </connection>
  <connection id="25" name="meetingAttendanceList7" type="6" refreshedVersion="6" background="1" saveData="1">
    <textPr prompt="0" sourceFile="D:\03_ASD\01_Excel Trainnig\05_SolutionwithExcel\01_Automate Attendance Sheet from MS Team Student Activity logs\02_Data\meetingAttendanceList.csv" comma="1">
      <textFields>
        <textField/>
      </textFields>
    </textPr>
  </connection>
  <connection id="26" keepAlive="1" name="Query - Student-IT-18A" description="Connection to the 'Student-IT-18A' query in the workbook." type="5" refreshedVersion="6" background="1">
    <dbPr connection="Provider=Microsoft.Mashup.OleDb.1;Data Source=$Workbook$;Location=Student-IT-18A;Extended Properties=&quot;&quot;" command="SELECT * FROM [Student-IT-18A]"/>
  </connection>
  <connection id="27" keepAlive="1" name="Query - Table_3" description="Connection to the 'Table_3' query in the workbook." type="5" refreshedVersion="6" background="1" saveData="1">
    <dbPr connection="Provider=Microsoft.Mashup.OleDb.1;Data Source=$Workbook$;Location=Table_3;Extended Properties=&quot;&quot;" command="SELECT * FROM [Table_3]"/>
  </connection>
</connections>
</file>

<file path=xl/sharedStrings.xml><?xml version="1.0" encoding="utf-8"?>
<sst xmlns="http://schemas.openxmlformats.org/spreadsheetml/2006/main" count="667" uniqueCount="258">
  <si>
    <t>Sr.No.</t>
  </si>
  <si>
    <t>PRN No.</t>
  </si>
  <si>
    <t>First Name</t>
  </si>
  <si>
    <t>Middle Name</t>
  </si>
  <si>
    <t>Last Name</t>
  </si>
  <si>
    <t>Institute</t>
  </si>
  <si>
    <t>Department</t>
  </si>
  <si>
    <t xml:space="preserve">Adminssion Year </t>
  </si>
  <si>
    <t>Roll No.</t>
  </si>
  <si>
    <t>Shift</t>
  </si>
  <si>
    <t>Class</t>
  </si>
  <si>
    <t>Division</t>
  </si>
  <si>
    <t xml:space="preserve">Email id - Institute </t>
  </si>
  <si>
    <t>Email id - Personal</t>
  </si>
  <si>
    <t>Cell No.</t>
  </si>
  <si>
    <t>DOB</t>
  </si>
  <si>
    <t>PRN</t>
  </si>
  <si>
    <t>RollNumber</t>
  </si>
  <si>
    <t>FirstName</t>
  </si>
  <si>
    <t>LastName</t>
  </si>
  <si>
    <t>DisplayName</t>
  </si>
  <si>
    <t>Full Name</t>
  </si>
  <si>
    <t>User Action</t>
  </si>
  <si>
    <t>Timestamp</t>
  </si>
  <si>
    <t>Joined</t>
  </si>
  <si>
    <t>Left</t>
  </si>
  <si>
    <t>Teacher Name</t>
  </si>
  <si>
    <t>Student 1</t>
  </si>
  <si>
    <t>Student 2</t>
  </si>
  <si>
    <t>Student 3</t>
  </si>
  <si>
    <t>Student 4</t>
  </si>
  <si>
    <t>Student 5</t>
  </si>
  <si>
    <t>Student 6</t>
  </si>
  <si>
    <t>Student 7</t>
  </si>
  <si>
    <t>Student 8</t>
  </si>
  <si>
    <t>Student 9</t>
  </si>
  <si>
    <t>Student 10</t>
  </si>
  <si>
    <t>Student 11</t>
  </si>
  <si>
    <t>Student 12</t>
  </si>
  <si>
    <t>Student 13</t>
  </si>
  <si>
    <t>Student 14</t>
  </si>
  <si>
    <t>Student</t>
  </si>
  <si>
    <t>SITU19BARC0010</t>
  </si>
  <si>
    <t>SITU19BARC0060</t>
  </si>
  <si>
    <t>SITU19BARC0075</t>
  </si>
  <si>
    <t>SITU19BARC0017</t>
  </si>
  <si>
    <t>SITU19BARC0045</t>
  </si>
  <si>
    <t>SITU19BARC0052</t>
  </si>
  <si>
    <t>SITU19BARC0061</t>
  </si>
  <si>
    <t>SITU19BARC0055</t>
  </si>
  <si>
    <t>SITU19BARC0056</t>
  </si>
  <si>
    <t>SITU19BARC0012</t>
  </si>
  <si>
    <t>SITU19BARC0051</t>
  </si>
  <si>
    <t>SITU19BARC0015</t>
  </si>
  <si>
    <t>SITU19BARC0073</t>
  </si>
  <si>
    <t>SITU19BARC0069</t>
  </si>
  <si>
    <t>Student 15</t>
  </si>
  <si>
    <t>Student 16</t>
  </si>
  <si>
    <t>Student 17</t>
  </si>
  <si>
    <t>Student 18</t>
  </si>
  <si>
    <t>Student 19</t>
  </si>
  <si>
    <t>Student 20</t>
  </si>
  <si>
    <t>Student 21</t>
  </si>
  <si>
    <t>Student 22</t>
  </si>
  <si>
    <t>Student 23</t>
  </si>
  <si>
    <t>Student 24</t>
  </si>
  <si>
    <t>Student 25</t>
  </si>
  <si>
    <t>Student 26</t>
  </si>
  <si>
    <t>Student 28</t>
  </si>
  <si>
    <t>Student 29</t>
  </si>
  <si>
    <t>Student 30</t>
  </si>
  <si>
    <t>Student 31</t>
  </si>
  <si>
    <t>Student 32</t>
  </si>
  <si>
    <t>Student 33</t>
  </si>
  <si>
    <t>Student 34</t>
  </si>
  <si>
    <t>Student 35</t>
  </si>
  <si>
    <t>Student 36</t>
  </si>
  <si>
    <t>Student 37</t>
  </si>
  <si>
    <t>Student 38</t>
  </si>
  <si>
    <t>Student 39</t>
  </si>
  <si>
    <t>Student 40</t>
  </si>
  <si>
    <t>Student 41</t>
  </si>
  <si>
    <t>Student 42</t>
  </si>
  <si>
    <t>Student 43</t>
  </si>
  <si>
    <t>Student 44</t>
  </si>
  <si>
    <t>Student 45</t>
  </si>
  <si>
    <t>Student 46</t>
  </si>
  <si>
    <t>Student 47</t>
  </si>
  <si>
    <t>Student 48</t>
  </si>
  <si>
    <t>Student 49</t>
  </si>
  <si>
    <t>Student 50</t>
  </si>
  <si>
    <t>Student 51</t>
  </si>
  <si>
    <t>Student 52</t>
  </si>
  <si>
    <t>Student 53</t>
  </si>
  <si>
    <t>Student 54</t>
  </si>
  <si>
    <t>Student 55</t>
  </si>
  <si>
    <t>Student 56</t>
  </si>
  <si>
    <t>Student 57</t>
  </si>
  <si>
    <t>Student 58</t>
  </si>
  <si>
    <t>Student 59</t>
  </si>
  <si>
    <t>Student 60</t>
  </si>
  <si>
    <t>Student 61</t>
  </si>
  <si>
    <t>Student 62</t>
  </si>
  <si>
    <t>Student 63</t>
  </si>
  <si>
    <t>Student 64</t>
  </si>
  <si>
    <t>Student 65</t>
  </si>
  <si>
    <t>Student 66</t>
  </si>
  <si>
    <t>Student 67</t>
  </si>
  <si>
    <t>Student 68</t>
  </si>
  <si>
    <t>Student 69</t>
  </si>
  <si>
    <t>Student 70</t>
  </si>
  <si>
    <t>Student 71</t>
  </si>
  <si>
    <t>Student 72</t>
  </si>
  <si>
    <t>Student 73</t>
  </si>
  <si>
    <t>Student 74</t>
  </si>
  <si>
    <t>Student 75</t>
  </si>
  <si>
    <t>Student 76</t>
  </si>
  <si>
    <t>Student 77</t>
  </si>
  <si>
    <t>Student 78</t>
  </si>
  <si>
    <t>Student 79</t>
  </si>
  <si>
    <t>Student 80</t>
  </si>
  <si>
    <t>Student 81</t>
  </si>
  <si>
    <t>Student 82</t>
  </si>
  <si>
    <t>Student 83</t>
  </si>
  <si>
    <t>Student 84</t>
  </si>
  <si>
    <t>Student 85</t>
  </si>
  <si>
    <t>Student 86</t>
  </si>
  <si>
    <t>Student 87</t>
  </si>
  <si>
    <t>Student 88</t>
  </si>
  <si>
    <t>Student 89</t>
  </si>
  <si>
    <t>Student 90</t>
  </si>
  <si>
    <t>Student 91</t>
  </si>
  <si>
    <t>Student 92</t>
  </si>
  <si>
    <t>Student 93</t>
  </si>
  <si>
    <t>Student 94</t>
  </si>
  <si>
    <t>Student 95</t>
  </si>
  <si>
    <t>Student 96</t>
  </si>
  <si>
    <t>Student 97</t>
  </si>
  <si>
    <t>Student 98</t>
  </si>
  <si>
    <t>Student 99</t>
  </si>
  <si>
    <t>Student 100</t>
  </si>
  <si>
    <t>(As per MS Team Display Name)</t>
  </si>
  <si>
    <t>Lect Start Time</t>
  </si>
  <si>
    <t>Lect End Time</t>
  </si>
  <si>
    <t>MS Team Log File Path</t>
  </si>
  <si>
    <t>Lect Date (DD/MM/YYYY)</t>
  </si>
  <si>
    <t>Automated Attendance System</t>
  </si>
  <si>
    <t>Duration</t>
  </si>
  <si>
    <t>Joined before</t>
  </si>
  <si>
    <t>Super Admin</t>
  </si>
  <si>
    <t>Student Name</t>
  </si>
  <si>
    <t>Attendance</t>
  </si>
  <si>
    <t>Min Student Presenty (%)</t>
  </si>
  <si>
    <t>Display Name (Column)</t>
  </si>
  <si>
    <t>*Daily Attendance Detail</t>
  </si>
  <si>
    <t>Attendance(Column)</t>
  </si>
  <si>
    <t>Roll Number</t>
  </si>
  <si>
    <t>Browse to MS Team User Activity Log File</t>
  </si>
  <si>
    <t>Enter Lecture Session Details</t>
  </si>
  <si>
    <t>Click "Calculate Attendance Time" to calculate student attendance time &amp; mark "P" &amp; "A" based on Min Student Presenty criteria</t>
  </si>
  <si>
    <t>Export DailyAttendance File</t>
  </si>
  <si>
    <r>
      <rPr>
        <sz val="11"/>
        <color theme="6"/>
        <rFont val="Calibri"/>
        <family val="2"/>
        <scheme val="major"/>
      </rPr>
      <t>1.</t>
    </r>
    <r>
      <rPr>
        <sz val="11"/>
        <color theme="4"/>
        <rFont val="Calibri"/>
        <family val="2"/>
        <scheme val="major"/>
      </rPr>
      <t xml:space="preserve"> Submit Teacher Name</t>
    </r>
  </si>
  <si>
    <r>
      <rPr>
        <sz val="11"/>
        <color theme="6"/>
        <rFont val="Calibri"/>
        <family val="2"/>
        <scheme val="major"/>
      </rPr>
      <t xml:space="preserve">2. </t>
    </r>
    <r>
      <rPr>
        <sz val="11"/>
        <color theme="4"/>
        <rFont val="Calibri"/>
        <family val="2"/>
        <scheme val="major"/>
      </rPr>
      <t>Submit Session Date</t>
    </r>
  </si>
  <si>
    <r>
      <rPr>
        <sz val="11"/>
        <color theme="6"/>
        <rFont val="Calibri"/>
        <family val="2"/>
        <scheme val="major"/>
      </rPr>
      <t>3.</t>
    </r>
    <r>
      <rPr>
        <sz val="11"/>
        <color theme="4"/>
        <rFont val="Calibri"/>
        <family val="2"/>
        <scheme val="major"/>
      </rPr>
      <t xml:space="preserve"> Submit Lect Start Time</t>
    </r>
  </si>
  <si>
    <r>
      <rPr>
        <sz val="11"/>
        <color theme="6"/>
        <rFont val="Calibri"/>
        <family val="2"/>
        <scheme val="major"/>
      </rPr>
      <t>4.</t>
    </r>
    <r>
      <rPr>
        <sz val="11"/>
        <color theme="4"/>
        <rFont val="Calibri"/>
        <family val="2"/>
        <scheme val="major"/>
      </rPr>
      <t xml:space="preserve"> Submit Lect End Time</t>
    </r>
  </si>
  <si>
    <r>
      <rPr>
        <sz val="11"/>
        <color theme="6"/>
        <rFont val="Calibri"/>
        <family val="2"/>
        <scheme val="major"/>
      </rPr>
      <t>5.</t>
    </r>
    <r>
      <rPr>
        <sz val="11"/>
        <color theme="4"/>
        <rFont val="Calibri"/>
        <family val="2"/>
        <scheme val="major"/>
      </rPr>
      <t xml:space="preserve"> Submit Min Student Presenty(%)</t>
    </r>
  </si>
  <si>
    <r>
      <rPr>
        <sz val="11"/>
        <color theme="6"/>
        <rFont val="Calibri"/>
        <family val="2"/>
        <scheme val="major"/>
      </rPr>
      <t>6.</t>
    </r>
    <r>
      <rPr>
        <sz val="11"/>
        <color theme="4"/>
        <rFont val="Calibri"/>
        <family val="2"/>
        <scheme val="major"/>
      </rPr>
      <t xml:space="preserve"> Provide Display Name (Column) in DailyAttendance Sheet</t>
    </r>
  </si>
  <si>
    <r>
      <rPr>
        <sz val="11"/>
        <color theme="6"/>
        <rFont val="Calibri"/>
        <family val="2"/>
        <scheme val="major"/>
      </rPr>
      <t>7.</t>
    </r>
    <r>
      <rPr>
        <sz val="11"/>
        <color theme="4"/>
        <rFont val="Calibri"/>
        <family val="2"/>
        <scheme val="major"/>
      </rPr>
      <t xml:space="preserve"> Provide Attendance Name (Column) in DailyAttendance Sheet</t>
    </r>
  </si>
  <si>
    <t>SIT000001</t>
  </si>
  <si>
    <t>SIT000002</t>
  </si>
  <si>
    <t>SIT000003</t>
  </si>
  <si>
    <t>SIT000004</t>
  </si>
  <si>
    <t>SIT000005</t>
  </si>
  <si>
    <t>SIT000006</t>
  </si>
  <si>
    <t>SIT000007</t>
  </si>
  <si>
    <t>SIT000008</t>
  </si>
  <si>
    <t>SIT000009</t>
  </si>
  <si>
    <t>SIT000010</t>
  </si>
  <si>
    <t>SIT000011</t>
  </si>
  <si>
    <t>SIT000012</t>
  </si>
  <si>
    <t>SIT000013</t>
  </si>
  <si>
    <t>SIT000014</t>
  </si>
  <si>
    <t>SIT000015</t>
  </si>
  <si>
    <t>SIT000016</t>
  </si>
  <si>
    <t>SIT000017</t>
  </si>
  <si>
    <t>SIT000018</t>
  </si>
  <si>
    <t>SIT000019</t>
  </si>
  <si>
    <t>SIT000020</t>
  </si>
  <si>
    <t>Test1</t>
  </si>
  <si>
    <t>Student1</t>
  </si>
  <si>
    <t>Student3</t>
  </si>
  <si>
    <t>Student4</t>
  </si>
  <si>
    <t>Student5</t>
  </si>
  <si>
    <t>Student6</t>
  </si>
  <si>
    <t>Student7</t>
  </si>
  <si>
    <t>Student8</t>
  </si>
  <si>
    <t>Student9</t>
  </si>
  <si>
    <t>Student10</t>
  </si>
  <si>
    <t>Student11</t>
  </si>
  <si>
    <t>Student12</t>
  </si>
  <si>
    <t>Student13</t>
  </si>
  <si>
    <t>Student14</t>
  </si>
  <si>
    <t>Student15</t>
  </si>
  <si>
    <t>Student16</t>
  </si>
  <si>
    <t>Student17</t>
  </si>
  <si>
    <t>Student18</t>
  </si>
  <si>
    <t>Student19</t>
  </si>
  <si>
    <t>Student20</t>
  </si>
  <si>
    <t>Student2</t>
  </si>
  <si>
    <t>Test2</t>
  </si>
  <si>
    <t>Test3</t>
  </si>
  <si>
    <t>Test4</t>
  </si>
  <si>
    <t>Test5</t>
  </si>
  <si>
    <t>Test6</t>
  </si>
  <si>
    <t>Test7</t>
  </si>
  <si>
    <t>Test8</t>
  </si>
  <si>
    <t>Test9</t>
  </si>
  <si>
    <t>Test10</t>
  </si>
  <si>
    <t>Test11</t>
  </si>
  <si>
    <t>Test12</t>
  </si>
  <si>
    <t>Test13</t>
  </si>
  <si>
    <t>Test14</t>
  </si>
  <si>
    <t>Test15</t>
  </si>
  <si>
    <t>Test16</t>
  </si>
  <si>
    <t>Test17</t>
  </si>
  <si>
    <t>Test18</t>
  </si>
  <si>
    <t>Test19</t>
  </si>
  <si>
    <t>Test20</t>
  </si>
  <si>
    <t>Trainer Test</t>
  </si>
  <si>
    <t>meetingAttendanceList_1.csv</t>
  </si>
  <si>
    <t>7/17/2020</t>
  </si>
  <si>
    <t xml:space="preserve"> 11:54:52 AM</t>
  </si>
  <si>
    <t xml:space="preserve"> 12:29:57 PM</t>
  </si>
  <si>
    <t xml:space="preserve"> 12:11:21 PM</t>
  </si>
  <si>
    <t xml:space="preserve"> 12:13:10 PM</t>
  </si>
  <si>
    <t xml:space="preserve"> 12:13:13 PM</t>
  </si>
  <si>
    <t xml:space="preserve"> 12:13:26 PM</t>
  </si>
  <si>
    <t xml:space="preserve"> 12:58:50 PM</t>
  </si>
  <si>
    <t xml:space="preserve"> 12:41:20 PM</t>
  </si>
  <si>
    <t xml:space="preserve"> 12:43:12 PM</t>
  </si>
  <si>
    <t xml:space="preserve"> 12:49:08 PM</t>
  </si>
  <si>
    <t xml:space="preserve"> 12:58:28 PM</t>
  </si>
  <si>
    <t xml:space="preserve"> 12:12:42 PM</t>
  </si>
  <si>
    <t xml:space="preserve"> 1:04:27 PM</t>
  </si>
  <si>
    <t xml:space="preserve"> 12:10:49 PM</t>
  </si>
  <si>
    <t xml:space="preserve"> 12:28:08 PM</t>
  </si>
  <si>
    <t xml:space="preserve"> 12:28:38 PM</t>
  </si>
  <si>
    <t xml:space="preserve"> 12:28:42 PM</t>
  </si>
  <si>
    <t xml:space="preserve"> 12:28:53 PM</t>
  </si>
  <si>
    <t xml:space="preserve"> 12:39:59 PM</t>
  </si>
  <si>
    <t xml:space="preserve"> 12:41:29 PM</t>
  </si>
  <si>
    <t xml:space="preserve"> 12:20:34 PM</t>
  </si>
  <si>
    <t xml:space="preserve"> 12:21:26 PM</t>
  </si>
  <si>
    <t xml:space="preserve"> 1:03:58 PM</t>
  </si>
  <si>
    <t xml:space="preserve"> 12:27:20 PM</t>
  </si>
  <si>
    <t xml:space="preserve"> 12:27:37 PM</t>
  </si>
  <si>
    <t>A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</si>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</sst>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409]d\-mmm\-yyyy"/>
    <numFmt numFmtId="165" formatCode="[$-4009]General"/>
    <numFmt numFmtId="166" formatCode="[$-14009]yyyy/mm/dd;@"/>
    <numFmt numFmtId="167" formatCode="[$-F400]h:mm:ss\ AM/PM"/>
  </numFmts>
  <fonts count="27">
    <font>
      <sz val="11"/>
      <color theme="1"/>
      <name val="Arial"/>
    </font>
    <font>
      <b/>
      <sz val="12"/>
      <color rgb="FF000000"/>
      <name val="Calibri"/>
      <family val="2"/>
    </font>
    <font>
      <sz val="11"/>
      <color theme="1"/>
      <name val="Calibri"/>
      <family val="2"/>
    </font>
    <font>
      <b/>
      <sz val="14"/>
      <color rgb="FF000000"/>
      <name val="Calibri"/>
      <family val="2"/>
    </font>
    <font>
      <sz val="12"/>
      <color rgb="FF000000"/>
      <name val="Cambria"/>
      <family val="1"/>
    </font>
    <font>
      <b/>
      <sz val="11"/>
      <color theme="1"/>
      <name val="Cambria"/>
      <family val="1"/>
    </font>
    <font>
      <b/>
      <sz val="11"/>
      <color theme="1"/>
      <name val="Calibri"/>
      <family val="2"/>
    </font>
    <font>
      <sz val="12"/>
      <color rgb="FF000000"/>
      <name val="Calibri"/>
      <family val="2"/>
    </font>
    <font>
      <sz val="11"/>
      <color rgb="FF000000"/>
      <name val="Arial1"/>
    </font>
    <font>
      <sz val="10"/>
      <color rgb="FF000000"/>
      <name val="Arial"/>
      <family val="2"/>
    </font>
    <font>
      <sz val="12"/>
      <color theme="1"/>
      <name val="Calibri"/>
      <family val="2"/>
      <scheme val="major"/>
    </font>
    <font>
      <sz val="12"/>
      <color indexed="8"/>
      <name val="Calibri"/>
      <family val="2"/>
      <scheme val="major"/>
    </font>
    <font>
      <sz val="12"/>
      <color rgb="FF202124"/>
      <name val="Calibri"/>
      <family val="2"/>
      <scheme val="maj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Arial"/>
      <family val="2"/>
    </font>
    <font>
      <b/>
      <sz val="11"/>
      <color rgb="FFFA7D00"/>
      <name val="Calibri"/>
      <family val="2"/>
      <scheme val="minor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1"/>
      <color rgb="FFFF0000"/>
      <name val="Arial"/>
      <family val="2"/>
    </font>
    <font>
      <b/>
      <u val="double"/>
      <sz val="18"/>
      <color theme="4"/>
      <name val="Calibri"/>
      <family val="2"/>
      <scheme val="major"/>
    </font>
    <font>
      <b/>
      <sz val="11"/>
      <color theme="6"/>
      <name val="Arial"/>
      <family val="2"/>
    </font>
    <font>
      <b/>
      <sz val="12"/>
      <color theme="6"/>
      <name val="Arial"/>
      <family val="2"/>
    </font>
    <font>
      <sz val="11"/>
      <color theme="1"/>
      <name val="Calibri"/>
      <family val="2"/>
      <scheme val="major"/>
    </font>
    <font>
      <sz val="11"/>
      <color theme="4"/>
      <name val="Calibri"/>
      <family val="2"/>
      <scheme val="major"/>
    </font>
    <font>
      <sz val="11"/>
      <color theme="6"/>
      <name val="Calibri"/>
      <family val="2"/>
      <scheme val="maj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</fills>
  <borders count="36">
    <border>
      <left/>
      <right/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 style="double">
        <color rgb="FF3F3F3F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double">
        <color rgb="FF3F3F3F"/>
      </top>
      <bottom style="double">
        <color rgb="FF3F3F3F"/>
      </bottom>
      <diagonal/>
    </border>
  </borders>
  <cellStyleXfs count="7">
    <xf numFmtId="0" fontId="0" fillId="0" borderId="0"/>
    <xf numFmtId="165" fontId="8" fillId="0" borderId="0"/>
    <xf numFmtId="0" fontId="9" fillId="0" borderId="0"/>
    <xf numFmtId="0" fontId="13" fillId="2" borderId="10" applyNumberFormat="0" applyAlignment="0" applyProtection="0"/>
    <xf numFmtId="0" fontId="14" fillId="3" borderId="11" applyNumberFormat="0" applyAlignment="0" applyProtection="0"/>
    <xf numFmtId="0" fontId="17" fillId="4" borderId="10" applyNumberFormat="0" applyAlignment="0" applyProtection="0"/>
    <xf numFmtId="9" fontId="18" fillId="0" borderId="0" applyFont="0" applyFill="0" applyBorder="0" applyAlignment="0" applyProtection="0"/>
  </cellStyleXfs>
  <cellXfs count="98">
    <xf numFmtId="0" fontId="0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164" fontId="1" fillId="0" borderId="4" xfId="0" applyNumberFormat="1" applyFont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2" fillId="0" borderId="5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left" vertical="center" wrapText="1"/>
    </xf>
    <xf numFmtId="0" fontId="5" fillId="0" borderId="2" xfId="0" applyFont="1" applyBorder="1" applyAlignment="1">
      <alignment horizontal="left" vertical="center" wrapText="1"/>
    </xf>
    <xf numFmtId="0" fontId="5" fillId="0" borderId="2" xfId="0" applyFont="1" applyBorder="1" applyAlignment="1">
      <alignment horizontal="center" vertical="center" wrapText="1"/>
    </xf>
    <xf numFmtId="0" fontId="6" fillId="0" borderId="2" xfId="0" applyFont="1" applyBorder="1" applyAlignment="1">
      <alignment wrapText="1"/>
    </xf>
    <xf numFmtId="0" fontId="2" fillId="0" borderId="2" xfId="0" applyFont="1" applyBorder="1" applyAlignment="1">
      <alignment horizontal="center" vertical="center" wrapText="1"/>
    </xf>
    <xf numFmtId="164" fontId="7" fillId="0" borderId="2" xfId="0" applyNumberFormat="1" applyFont="1" applyBorder="1" applyAlignment="1">
      <alignment horizontal="left" vertical="center" wrapText="1"/>
    </xf>
    <xf numFmtId="164" fontId="7" fillId="0" borderId="6" xfId="0" applyNumberFormat="1" applyFont="1" applyBorder="1" applyAlignment="1">
      <alignment horizontal="left" vertical="center" wrapText="1"/>
    </xf>
    <xf numFmtId="0" fontId="2" fillId="0" borderId="6" xfId="0" applyFont="1" applyBorder="1" applyAlignment="1">
      <alignment wrapText="1"/>
    </xf>
    <xf numFmtId="0" fontId="2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center" vertical="center" wrapText="1"/>
    </xf>
    <xf numFmtId="0" fontId="6" fillId="0" borderId="8" xfId="0" applyFont="1" applyBorder="1" applyAlignment="1">
      <alignment wrapText="1"/>
    </xf>
    <xf numFmtId="0" fontId="2" fillId="0" borderId="8" xfId="0" applyFont="1" applyBorder="1" applyAlignment="1">
      <alignment horizontal="center" vertical="center" wrapText="1"/>
    </xf>
    <xf numFmtId="164" fontId="7" fillId="0" borderId="8" xfId="0" applyNumberFormat="1" applyFont="1" applyBorder="1" applyAlignment="1">
      <alignment horizontal="left" vertical="center" wrapText="1"/>
    </xf>
    <xf numFmtId="0" fontId="2" fillId="0" borderId="9" xfId="0" applyFont="1" applyBorder="1" applyAlignment="1">
      <alignment wrapText="1"/>
    </xf>
    <xf numFmtId="0" fontId="2" fillId="0" borderId="0" xfId="0" applyFont="1"/>
    <xf numFmtId="0" fontId="10" fillId="0" borderId="0" xfId="0" applyFont="1" applyFill="1" applyBorder="1" applyAlignment="1"/>
    <xf numFmtId="0" fontId="10" fillId="0" borderId="0" xfId="0" applyFont="1" applyFill="1" applyBorder="1" applyAlignment="1">
      <alignment horizontal="center"/>
    </xf>
    <xf numFmtId="0" fontId="10" fillId="0" borderId="0" xfId="0" applyFont="1" applyFill="1" applyBorder="1" applyAlignment="1">
      <alignment horizontal="right"/>
    </xf>
    <xf numFmtId="1" fontId="14" fillId="3" borderId="15" xfId="4" applyNumberFormat="1" applyBorder="1" applyAlignment="1">
      <alignment horizontal="center" vertical="center"/>
    </xf>
    <xf numFmtId="1" fontId="14" fillId="3" borderId="16" xfId="4" applyNumberFormat="1" applyBorder="1" applyAlignment="1">
      <alignment horizontal="center" vertical="center"/>
    </xf>
    <xf numFmtId="0" fontId="10" fillId="0" borderId="17" xfId="0" applyFont="1" applyFill="1" applyBorder="1" applyAlignment="1">
      <alignment horizontal="center" vertical="center"/>
    </xf>
    <xf numFmtId="0" fontId="11" fillId="0" borderId="17" xfId="0" applyFont="1" applyFill="1" applyBorder="1" applyAlignment="1">
      <alignment horizontal="left" vertical="center"/>
    </xf>
    <xf numFmtId="0" fontId="10" fillId="0" borderId="17" xfId="0" applyFont="1" applyFill="1" applyBorder="1" applyAlignment="1" applyProtection="1">
      <alignment horizontal="left" vertical="center"/>
      <protection locked="0"/>
    </xf>
    <xf numFmtId="0" fontId="15" fillId="0" borderId="17" xfId="0" applyFont="1" applyBorder="1"/>
    <xf numFmtId="0" fontId="12" fillId="0" borderId="18" xfId="0" applyFont="1" applyFill="1" applyBorder="1" applyAlignment="1">
      <alignment horizontal="right" vertical="center"/>
    </xf>
    <xf numFmtId="0" fontId="10" fillId="0" borderId="19" xfId="0" applyFont="1" applyFill="1" applyBorder="1" applyAlignment="1">
      <alignment horizontal="center" vertical="center"/>
    </xf>
    <xf numFmtId="0" fontId="11" fillId="0" borderId="19" xfId="0" applyFont="1" applyFill="1" applyBorder="1" applyAlignment="1">
      <alignment horizontal="left" vertical="center"/>
    </xf>
    <xf numFmtId="0" fontId="10" fillId="0" borderId="19" xfId="0" applyFont="1" applyFill="1" applyBorder="1" applyAlignment="1" applyProtection="1">
      <alignment horizontal="left" vertical="center"/>
      <protection locked="0"/>
    </xf>
    <xf numFmtId="0" fontId="15" fillId="0" borderId="19" xfId="0" applyFont="1" applyBorder="1"/>
    <xf numFmtId="0" fontId="12" fillId="0" borderId="20" xfId="0" applyFont="1" applyFill="1" applyBorder="1" applyAlignment="1">
      <alignment horizontal="right" vertical="center"/>
    </xf>
    <xf numFmtId="0" fontId="12" fillId="0" borderId="21" xfId="0" applyFont="1" applyFill="1" applyBorder="1" applyAlignment="1">
      <alignment horizontal="right" vertical="center"/>
    </xf>
    <xf numFmtId="0" fontId="10" fillId="0" borderId="22" xfId="0" applyFont="1" applyFill="1" applyBorder="1" applyAlignment="1">
      <alignment horizontal="center" vertical="center"/>
    </xf>
    <xf numFmtId="0" fontId="11" fillId="0" borderId="22" xfId="0" applyFont="1" applyFill="1" applyBorder="1" applyAlignment="1">
      <alignment horizontal="left" vertical="center"/>
    </xf>
    <xf numFmtId="0" fontId="10" fillId="0" borderId="22" xfId="0" applyFont="1" applyFill="1" applyBorder="1" applyAlignment="1" applyProtection="1">
      <alignment horizontal="left" vertical="center"/>
      <protection locked="0"/>
    </xf>
    <xf numFmtId="0" fontId="15" fillId="0" borderId="22" xfId="0" applyFont="1" applyBorder="1"/>
    <xf numFmtId="0" fontId="19" fillId="0" borderId="0" xfId="0" applyFont="1" applyAlignment="1"/>
    <xf numFmtId="0" fontId="10" fillId="5" borderId="0" xfId="0" applyFont="1" applyFill="1" applyBorder="1" applyAlignment="1"/>
    <xf numFmtId="0" fontId="13" fillId="5" borderId="0" xfId="3" applyFill="1" applyBorder="1" applyAlignment="1">
      <alignment horizontal="center"/>
    </xf>
    <xf numFmtId="20" fontId="13" fillId="5" borderId="0" xfId="3" applyNumberFormat="1" applyFill="1" applyBorder="1" applyAlignment="1">
      <alignment horizontal="center"/>
    </xf>
    <xf numFmtId="0" fontId="10" fillId="5" borderId="0" xfId="0" applyFont="1" applyFill="1" applyBorder="1" applyAlignment="1">
      <alignment horizontal="center"/>
    </xf>
    <xf numFmtId="0" fontId="10" fillId="5" borderId="24" xfId="0" applyFont="1" applyFill="1" applyBorder="1" applyAlignment="1"/>
    <xf numFmtId="0" fontId="10" fillId="5" borderId="25" xfId="0" applyFont="1" applyFill="1" applyBorder="1" applyAlignment="1"/>
    <xf numFmtId="0" fontId="10" fillId="5" borderId="27" xfId="0" applyFont="1" applyFill="1" applyBorder="1" applyAlignment="1"/>
    <xf numFmtId="0" fontId="10" fillId="5" borderId="26" xfId="0" applyFont="1" applyFill="1" applyBorder="1" applyAlignment="1">
      <alignment horizontal="right"/>
    </xf>
    <xf numFmtId="0" fontId="10" fillId="5" borderId="28" xfId="0" applyFont="1" applyFill="1" applyBorder="1" applyAlignment="1">
      <alignment horizontal="right"/>
    </xf>
    <xf numFmtId="0" fontId="10" fillId="5" borderId="29" xfId="0" applyFont="1" applyFill="1" applyBorder="1" applyAlignment="1">
      <alignment horizontal="center"/>
    </xf>
    <xf numFmtId="0" fontId="10" fillId="5" borderId="29" xfId="0" applyFont="1" applyFill="1" applyBorder="1" applyAlignment="1"/>
    <xf numFmtId="0" fontId="10" fillId="5" borderId="30" xfId="0" applyFont="1" applyFill="1" applyBorder="1" applyAlignment="1"/>
    <xf numFmtId="20" fontId="17" fillId="5" borderId="0" xfId="5" applyNumberFormat="1" applyFill="1" applyBorder="1" applyAlignment="1"/>
    <xf numFmtId="0" fontId="10" fillId="5" borderId="0" xfId="0" applyFont="1" applyFill="1" applyBorder="1" applyAlignment="1" applyProtection="1">
      <alignment horizontal="left" vertical="center"/>
      <protection locked="0"/>
    </xf>
    <xf numFmtId="0" fontId="10" fillId="5" borderId="31" xfId="0" applyFont="1" applyFill="1" applyBorder="1" applyAlignment="1"/>
    <xf numFmtId="0" fontId="10" fillId="5" borderId="26" xfId="0" applyFont="1" applyFill="1" applyBorder="1" applyAlignment="1"/>
    <xf numFmtId="167" fontId="13" fillId="2" borderId="23" xfId="3" applyNumberFormat="1" applyBorder="1" applyAlignment="1" applyProtection="1">
      <alignment horizontal="center"/>
      <protection locked="0"/>
    </xf>
    <xf numFmtId="0" fontId="14" fillId="3" borderId="11" xfId="4" applyAlignment="1"/>
    <xf numFmtId="0" fontId="15" fillId="5" borderId="31" xfId="0" applyFont="1" applyFill="1" applyBorder="1"/>
    <xf numFmtId="0" fontId="10" fillId="5" borderId="24" xfId="0" applyFont="1" applyFill="1" applyBorder="1" applyAlignment="1">
      <alignment horizontal="center" vertical="center"/>
    </xf>
    <xf numFmtId="0" fontId="10" fillId="5" borderId="28" xfId="0" applyFont="1" applyFill="1" applyBorder="1" applyAlignment="1"/>
    <xf numFmtId="0" fontId="14" fillId="3" borderId="11" xfId="4" applyAlignment="1">
      <alignment horizontal="center"/>
    </xf>
    <xf numFmtId="0" fontId="15" fillId="0" borderId="0" xfId="0" applyFont="1" applyAlignment="1"/>
    <xf numFmtId="0" fontId="22" fillId="0" borderId="0" xfId="0" applyFont="1" applyAlignment="1"/>
    <xf numFmtId="0" fontId="23" fillId="0" borderId="0" xfId="0" applyFont="1" applyAlignment="1"/>
    <xf numFmtId="0" fontId="24" fillId="0" borderId="0" xfId="0" applyFont="1" applyAlignment="1"/>
    <xf numFmtId="0" fontId="25" fillId="0" borderId="0" xfId="0" applyFont="1" applyAlignment="1">
      <alignment horizontal="left" indent="2"/>
    </xf>
    <xf numFmtId="9" fontId="13" fillId="2" borderId="10" xfId="3" applyNumberFormat="1" applyAlignment="1" applyProtection="1">
      <protection locked="0"/>
    </xf>
    <xf numFmtId="0" fontId="13" fillId="2" borderId="10" xfId="3" applyAlignment="1" applyProtection="1">
      <alignment horizontal="center"/>
      <protection locked="0"/>
    </xf>
    <xf numFmtId="1" fontId="17" fillId="4" borderId="23" xfId="5" applyNumberFormat="1" applyBorder="1" applyAlignment="1" applyProtection="1"/>
    <xf numFmtId="0" fontId="0" fillId="0" borderId="0" xfId="0" applyFont="1" applyAlignment="1">
      <alignment horizontal="center"/>
    </xf>
    <xf numFmtId="0" fontId="21" fillId="5" borderId="0" xfId="0" applyFont="1" applyFill="1" applyBorder="1" applyAlignment="1">
      <alignment horizontal="center" vertical="center"/>
    </xf>
    <xf numFmtId="0" fontId="14" fillId="3" borderId="12" xfId="4" applyBorder="1" applyAlignment="1">
      <alignment horizontal="center"/>
    </xf>
    <xf numFmtId="0" fontId="14" fillId="3" borderId="35" xfId="4" applyBorder="1" applyAlignment="1">
      <alignment horizontal="center"/>
    </xf>
    <xf numFmtId="0" fontId="14" fillId="3" borderId="11" xfId="4" applyAlignment="1">
      <alignment horizontal="center"/>
    </xf>
    <xf numFmtId="0" fontId="17" fillId="4" borderId="10" xfId="5" applyAlignment="1">
      <alignment horizontal="center"/>
    </xf>
    <xf numFmtId="0" fontId="14" fillId="3" borderId="11" xfId="4" applyAlignment="1">
      <alignment horizontal="center" wrapText="1"/>
    </xf>
    <xf numFmtId="0" fontId="14" fillId="3" borderId="12" xfId="4" applyBorder="1" applyAlignment="1">
      <alignment horizontal="center" wrapText="1"/>
    </xf>
    <xf numFmtId="166" fontId="13" fillId="2" borderId="13" xfId="3" applyNumberFormat="1" applyBorder="1" applyAlignment="1" applyProtection="1">
      <alignment horizontal="center"/>
      <protection locked="0"/>
    </xf>
    <xf numFmtId="166" fontId="13" fillId="2" borderId="14" xfId="3" applyNumberFormat="1" applyBorder="1" applyAlignment="1" applyProtection="1">
      <alignment horizontal="center"/>
      <protection locked="0"/>
    </xf>
    <xf numFmtId="9" fontId="13" fillId="5" borderId="0" xfId="6" applyFont="1" applyFill="1" applyBorder="1" applyAlignment="1">
      <alignment horizontal="center" vertical="center"/>
    </xf>
    <xf numFmtId="0" fontId="14" fillId="5" borderId="0" xfId="4" applyFill="1" applyBorder="1" applyAlignment="1">
      <alignment horizontal="center" vertical="center" wrapText="1"/>
    </xf>
    <xf numFmtId="0" fontId="14" fillId="3" borderId="0" xfId="4" applyBorder="1" applyAlignment="1">
      <alignment horizontal="center"/>
    </xf>
    <xf numFmtId="0" fontId="13" fillId="2" borderId="13" xfId="3" applyBorder="1" applyAlignment="1" applyProtection="1">
      <alignment horizontal="center"/>
      <protection locked="0"/>
    </xf>
    <xf numFmtId="0" fontId="13" fillId="2" borderId="14" xfId="3" applyBorder="1" applyAlignment="1" applyProtection="1">
      <alignment horizontal="center"/>
      <protection locked="0"/>
    </xf>
    <xf numFmtId="0" fontId="14" fillId="5" borderId="0" xfId="4" applyFill="1" applyBorder="1" applyAlignment="1">
      <alignment horizontal="center"/>
    </xf>
    <xf numFmtId="0" fontId="10" fillId="5" borderId="26" xfId="0" applyFont="1" applyFill="1" applyBorder="1" applyAlignment="1">
      <alignment horizontal="center"/>
    </xf>
    <xf numFmtId="0" fontId="10" fillId="5" borderId="0" xfId="0" applyFont="1" applyFill="1" applyBorder="1" applyAlignment="1">
      <alignment horizontal="center"/>
    </xf>
    <xf numFmtId="0" fontId="10" fillId="5" borderId="27" xfId="0" applyFont="1" applyFill="1" applyBorder="1" applyAlignment="1">
      <alignment horizontal="center"/>
    </xf>
    <xf numFmtId="0" fontId="20" fillId="5" borderId="32" xfId="0" applyFont="1" applyFill="1" applyBorder="1" applyAlignment="1">
      <alignment horizontal="left"/>
    </xf>
    <xf numFmtId="0" fontId="20" fillId="5" borderId="33" xfId="0" applyFont="1" applyFill="1" applyBorder="1" applyAlignment="1">
      <alignment horizontal="left"/>
    </xf>
    <xf numFmtId="0" fontId="20" fillId="5" borderId="34" xfId="0" applyFont="1" applyFill="1" applyBorder="1" applyAlignment="1">
      <alignment horizontal="left"/>
    </xf>
  </cellXfs>
  <cellStyles count="7">
    <cellStyle name="Calculation" xfId="5" builtinId="22"/>
    <cellStyle name="Check Cell" xfId="4" builtinId="23"/>
    <cellStyle name="Excel Built-in Normal" xfId="1"/>
    <cellStyle name="Input" xfId="3" builtinId="20"/>
    <cellStyle name="Normal" xfId="0" builtinId="0"/>
    <cellStyle name="Normal 2" xfId="2"/>
    <cellStyle name="Percent" xfId="6" builtinId="5"/>
  </cellStyles>
  <dxfs count="12">
    <dxf>
      <fill>
        <patternFill patternType="solid">
          <fgColor rgb="FFDBE5F1"/>
          <bgColor rgb="FFDBE5F1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</dxfs>
  <tableStyles count="4">
    <tableStyle name="MITSOE-AERO-2019-style" pivot="0" count="3">
      <tableStyleElement type="headerRow" dxfId="11"/>
      <tableStyleElement type="firstRowStripe" dxfId="10"/>
      <tableStyleElement type="secondRowStripe" dxfId="9"/>
    </tableStyle>
    <tableStyle name="MITSOE-AERO-2018-style" pivot="0" count="3">
      <tableStyleElement type="headerRow" dxfId="8"/>
      <tableStyleElement type="firstRowStripe" dxfId="7"/>
      <tableStyleElement type="secondRowStripe" dxfId="6"/>
    </tableStyle>
    <tableStyle name="MITSOE-SY-IT-2020-style" pivot="0" count="3">
      <tableStyleElement type="headerRow" dxfId="5"/>
      <tableStyleElement type="firstRowStripe" dxfId="4"/>
      <tableStyleElement type="secondRowStripe" dxfId="3"/>
    </tableStyle>
    <tableStyle name="MITSOE-AERO-2017-style" pivot="0" count="3"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11</xdr:row>
      <xdr:rowOff>26438</xdr:rowOff>
    </xdr:from>
    <xdr:to>
      <xdr:col>2</xdr:col>
      <xdr:colOff>255733</xdr:colOff>
      <xdr:row>22</xdr:row>
      <xdr:rowOff>97947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7D5E012-A37F-496B-9C5C-B801B237E8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8500" y="2039388"/>
          <a:ext cx="6237433" cy="2065409"/>
        </a:xfrm>
        <a:prstGeom prst="rect">
          <a:avLst/>
        </a:prstGeom>
        <a:ln w="127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1</xdr:col>
      <xdr:colOff>3168650</xdr:colOff>
      <xdr:row>7</xdr:row>
      <xdr:rowOff>31751</xdr:rowOff>
    </xdr:from>
    <xdr:to>
      <xdr:col>4</xdr:col>
      <xdr:colOff>268433</xdr:colOff>
      <xdr:row>9</xdr:row>
      <xdr:rowOff>123826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D45B4B2-5CCD-4263-B47D-1EDF5BEEE0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29050" y="1276351"/>
          <a:ext cx="4440383" cy="4762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11</xdr:row>
      <xdr:rowOff>114300</xdr:rowOff>
    </xdr:from>
    <xdr:to>
      <xdr:col>1</xdr:col>
      <xdr:colOff>4356100</xdr:colOff>
      <xdr:row>12</xdr:row>
      <xdr:rowOff>158750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67B686F1-08E2-4B55-9505-F7E3F0B349B8}"/>
            </a:ext>
          </a:extLst>
        </xdr:cNvPr>
        <xdr:cNvSpPr/>
      </xdr:nvSpPr>
      <xdr:spPr>
        <a:xfrm>
          <a:off x="4781550" y="2127250"/>
          <a:ext cx="234950" cy="222250"/>
        </a:xfrm>
        <a:prstGeom prst="ellipse">
          <a:avLst/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accent1"/>
              </a:solidFill>
            </a:rPr>
            <a:t>1</a:t>
          </a:r>
        </a:p>
      </xdr:txBody>
    </xdr:sp>
    <xdr:clientData/>
  </xdr:twoCellAnchor>
  <xdr:twoCellAnchor>
    <xdr:from>
      <xdr:col>1</xdr:col>
      <xdr:colOff>4127500</xdr:colOff>
      <xdr:row>13</xdr:row>
      <xdr:rowOff>82550</xdr:rowOff>
    </xdr:from>
    <xdr:to>
      <xdr:col>1</xdr:col>
      <xdr:colOff>4362450</xdr:colOff>
      <xdr:row>14</xdr:row>
      <xdr:rowOff>127000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AD4EFD44-B64E-4856-87A6-50AD444A9831}"/>
            </a:ext>
          </a:extLst>
        </xdr:cNvPr>
        <xdr:cNvSpPr/>
      </xdr:nvSpPr>
      <xdr:spPr>
        <a:xfrm>
          <a:off x="4787900" y="2451100"/>
          <a:ext cx="234950" cy="222250"/>
        </a:xfrm>
        <a:prstGeom prst="ellipse">
          <a:avLst/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accent1"/>
              </a:solidFill>
            </a:rPr>
            <a:t>2</a:t>
          </a:r>
        </a:p>
      </xdr:txBody>
    </xdr:sp>
    <xdr:clientData/>
  </xdr:twoCellAnchor>
  <xdr:twoCellAnchor>
    <xdr:from>
      <xdr:col>1</xdr:col>
      <xdr:colOff>3111500</xdr:colOff>
      <xdr:row>15</xdr:row>
      <xdr:rowOff>6350</xdr:rowOff>
    </xdr:from>
    <xdr:to>
      <xdr:col>1</xdr:col>
      <xdr:colOff>3346450</xdr:colOff>
      <xdr:row>16</xdr:row>
      <xdr:rowOff>50800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8D327C3A-EEC3-4EA2-9EE8-B9E15F7EC7F9}"/>
            </a:ext>
          </a:extLst>
        </xdr:cNvPr>
        <xdr:cNvSpPr/>
      </xdr:nvSpPr>
      <xdr:spPr>
        <a:xfrm>
          <a:off x="3771900" y="2749550"/>
          <a:ext cx="234950" cy="222250"/>
        </a:xfrm>
        <a:prstGeom prst="ellipse">
          <a:avLst/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accent1"/>
              </a:solidFill>
            </a:rPr>
            <a:t>3</a:t>
          </a:r>
        </a:p>
      </xdr:txBody>
    </xdr:sp>
    <xdr:clientData/>
  </xdr:twoCellAnchor>
  <xdr:twoCellAnchor>
    <xdr:from>
      <xdr:col>1</xdr:col>
      <xdr:colOff>3136900</xdr:colOff>
      <xdr:row>17</xdr:row>
      <xdr:rowOff>0</xdr:rowOff>
    </xdr:from>
    <xdr:to>
      <xdr:col>1</xdr:col>
      <xdr:colOff>3371850</xdr:colOff>
      <xdr:row>18</xdr:row>
      <xdr:rowOff>44450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DFA8448D-B3B0-4F6C-A040-9CBB4FB98B7E}"/>
            </a:ext>
          </a:extLst>
        </xdr:cNvPr>
        <xdr:cNvSpPr/>
      </xdr:nvSpPr>
      <xdr:spPr>
        <a:xfrm>
          <a:off x="3797300" y="3098800"/>
          <a:ext cx="234950" cy="222250"/>
        </a:xfrm>
        <a:prstGeom prst="ellipse">
          <a:avLst/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accent1"/>
              </a:solidFill>
            </a:rPr>
            <a:t>4</a:t>
          </a:r>
        </a:p>
      </xdr:txBody>
    </xdr:sp>
    <xdr:clientData/>
  </xdr:twoCellAnchor>
  <xdr:twoCellAnchor>
    <xdr:from>
      <xdr:col>1</xdr:col>
      <xdr:colOff>3124200</xdr:colOff>
      <xdr:row>21</xdr:row>
      <xdr:rowOff>6350</xdr:rowOff>
    </xdr:from>
    <xdr:to>
      <xdr:col>1</xdr:col>
      <xdr:colOff>3359150</xdr:colOff>
      <xdr:row>22</xdr:row>
      <xdr:rowOff>50800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43EC3FF5-31D3-4B3B-8088-947333818566}"/>
            </a:ext>
          </a:extLst>
        </xdr:cNvPr>
        <xdr:cNvSpPr/>
      </xdr:nvSpPr>
      <xdr:spPr>
        <a:xfrm>
          <a:off x="3784600" y="3835400"/>
          <a:ext cx="234950" cy="222250"/>
        </a:xfrm>
        <a:prstGeom prst="ellipse">
          <a:avLst/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accent1"/>
              </a:solidFill>
            </a:rPr>
            <a:t>5</a:t>
          </a:r>
        </a:p>
      </xdr:txBody>
    </xdr:sp>
    <xdr:clientData/>
  </xdr:twoCellAnchor>
  <xdr:twoCellAnchor>
    <xdr:from>
      <xdr:col>2</xdr:col>
      <xdr:colOff>25400</xdr:colOff>
      <xdr:row>17</xdr:row>
      <xdr:rowOff>114300</xdr:rowOff>
    </xdr:from>
    <xdr:to>
      <xdr:col>2</xdr:col>
      <xdr:colOff>260350</xdr:colOff>
      <xdr:row>18</xdr:row>
      <xdr:rowOff>158750</xdr:rowOff>
    </xdr:to>
    <xdr:sp macro="" textlink="">
      <xdr:nvSpPr>
        <xdr:cNvPr id="12" name="Oval 11">
          <a:extLst>
            <a:ext uri="{FF2B5EF4-FFF2-40B4-BE49-F238E27FC236}">
              <a16:creationId xmlns:a16="http://schemas.microsoft.com/office/drawing/2014/main" id="{7702EEA8-DD2C-4074-924B-8C74B5EB874C}"/>
            </a:ext>
          </a:extLst>
        </xdr:cNvPr>
        <xdr:cNvSpPr/>
      </xdr:nvSpPr>
      <xdr:spPr>
        <a:xfrm>
          <a:off x="6705600" y="3213100"/>
          <a:ext cx="234950" cy="222250"/>
        </a:xfrm>
        <a:prstGeom prst="ellipse">
          <a:avLst/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accent1"/>
              </a:solidFill>
            </a:rPr>
            <a:t>6</a:t>
          </a:r>
        </a:p>
      </xdr:txBody>
    </xdr:sp>
    <xdr:clientData/>
  </xdr:twoCellAnchor>
  <xdr:twoCellAnchor>
    <xdr:from>
      <xdr:col>2</xdr:col>
      <xdr:colOff>25400</xdr:colOff>
      <xdr:row>19</xdr:row>
      <xdr:rowOff>88900</xdr:rowOff>
    </xdr:from>
    <xdr:to>
      <xdr:col>2</xdr:col>
      <xdr:colOff>260350</xdr:colOff>
      <xdr:row>20</xdr:row>
      <xdr:rowOff>114300</xdr:rowOff>
    </xdr:to>
    <xdr:sp macro="" textlink="">
      <xdr:nvSpPr>
        <xdr:cNvPr id="13" name="Oval 12">
          <a:extLst>
            <a:ext uri="{FF2B5EF4-FFF2-40B4-BE49-F238E27FC236}">
              <a16:creationId xmlns:a16="http://schemas.microsoft.com/office/drawing/2014/main" id="{85F9175C-A0C7-4DA5-B9DF-0A24EE48AC31}"/>
            </a:ext>
          </a:extLst>
        </xdr:cNvPr>
        <xdr:cNvSpPr/>
      </xdr:nvSpPr>
      <xdr:spPr>
        <a:xfrm>
          <a:off x="6705600" y="3543300"/>
          <a:ext cx="234950" cy="222250"/>
        </a:xfrm>
        <a:prstGeom prst="ellipse">
          <a:avLst/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accent1"/>
              </a:solidFill>
            </a:rPr>
            <a:t>7</a:t>
          </a:r>
        </a:p>
      </xdr:txBody>
    </xdr:sp>
    <xdr:clientData/>
  </xdr:twoCellAnchor>
  <xdr:twoCellAnchor editAs="oneCell">
    <xdr:from>
      <xdr:col>1</xdr:col>
      <xdr:colOff>1231900</xdr:colOff>
      <xdr:row>33</xdr:row>
      <xdr:rowOff>76200</xdr:rowOff>
    </xdr:from>
    <xdr:to>
      <xdr:col>1</xdr:col>
      <xdr:colOff>4361905</xdr:colOff>
      <xdr:row>37</xdr:row>
      <xdr:rowOff>96246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5B8B0043-0A8D-4F42-A593-88641E913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92300" y="6057900"/>
          <a:ext cx="3130005" cy="731246"/>
        </a:xfrm>
        <a:prstGeom prst="rect">
          <a:avLst/>
        </a:prstGeom>
      </xdr:spPr>
    </xdr:pic>
    <xdr:clientData/>
  </xdr:twoCellAnchor>
  <xdr:twoCellAnchor editAs="oneCell">
    <xdr:from>
      <xdr:col>1</xdr:col>
      <xdr:colOff>1257300</xdr:colOff>
      <xdr:row>40</xdr:row>
      <xdr:rowOff>38100</xdr:rowOff>
    </xdr:from>
    <xdr:to>
      <xdr:col>1</xdr:col>
      <xdr:colOff>4574679</xdr:colOff>
      <xdr:row>44</xdr:row>
      <xdr:rowOff>4132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1746AE6-CE57-43D4-957E-DE66060724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17700" y="7264400"/>
          <a:ext cx="3317379" cy="67723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23</xdr:row>
          <xdr:rowOff>28575</xdr:rowOff>
        </xdr:from>
        <xdr:to>
          <xdr:col>5</xdr:col>
          <xdr:colOff>171450</xdr:colOff>
          <xdr:row>25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Attendance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6</xdr:row>
          <xdr:rowOff>180975</xdr:rowOff>
        </xdr:from>
        <xdr:to>
          <xdr:col>8</xdr:col>
          <xdr:colOff>209550</xdr:colOff>
          <xdr:row>8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23</xdr:row>
          <xdr:rowOff>19050</xdr:rowOff>
        </xdr:from>
        <xdr:to>
          <xdr:col>8</xdr:col>
          <xdr:colOff>323850</xdr:colOff>
          <xdr:row>25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File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28" connectionId="18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27" connectionId="17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19" connectionId="20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5" connectionId="9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24" connectionId="24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8" connectionId="2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4" connectionId="8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18" connectionId="19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9" connectionId="15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1" connectionId="6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17" connectionId="12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23" connectionId="23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10" connectionId="14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16" connectionId="11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6" connectionId="5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21" connectionId="22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14" connectionId="10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20" connectionId="21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26" connectionId="25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2" connectionId="13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3" connectionId="7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25" connectionId="16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11" connectionId="4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7" connectionId="1" autoFormatId="0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Table_1" displayName="Table_1" ref="A1:P16">
  <tableColumns count="16">
    <tableColumn id="1" name="Sr.No."/>
    <tableColumn id="2" name="PRN No."/>
    <tableColumn id="3" name="First Name"/>
    <tableColumn id="4" name="Middle Name"/>
    <tableColumn id="5" name="Last Name"/>
    <tableColumn id="6" name="Institute"/>
    <tableColumn id="7" name="Department"/>
    <tableColumn id="8" name="Adminssion Year "/>
    <tableColumn id="9" name="Roll No."/>
    <tableColumn id="10" name="Shift"/>
    <tableColumn id="11" name="Class"/>
    <tableColumn id="12" name="Division"/>
    <tableColumn id="13" name="Email id - Institute "/>
    <tableColumn id="14" name="Email id - Personal"/>
    <tableColumn id="15" name="Cell No."/>
    <tableColumn id="16" name="DOB"/>
  </tableColumns>
  <tableStyleInfo name="MITSOE-AERO-2019-style" showFirstColumn="1" showLastColumn="1" showRowStripes="1" showColumnStripes="0"/>
</table>
</file>

<file path=xl/tables/table2.xml><?xml version="1.0" encoding="utf-8"?>
<table xmlns="http://schemas.openxmlformats.org/spreadsheetml/2006/main" id="2" name="Table_2" displayName="Table_2" ref="A1:P16">
  <tableColumns count="16">
    <tableColumn id="1" name="Sr.No."/>
    <tableColumn id="2" name="PRN No."/>
    <tableColumn id="3" name="First Name"/>
    <tableColumn id="4" name="Middle Name"/>
    <tableColumn id="5" name="Last Name"/>
    <tableColumn id="6" name="Institute"/>
    <tableColumn id="7" name="Department"/>
    <tableColumn id="8" name="Adminssion Year "/>
    <tableColumn id="9" name="Roll No."/>
    <tableColumn id="10" name="Shift"/>
    <tableColumn id="11" name="Class"/>
    <tableColumn id="12" name="Division"/>
    <tableColumn id="13" name="Email id - Institute "/>
    <tableColumn id="14" name="Email id - Personal"/>
    <tableColumn id="15" name="Cell No."/>
    <tableColumn id="16" name="DOB"/>
  </tableColumns>
  <tableStyleInfo name="MITSOE-AERO-2018-style" showFirstColumn="1" showLastColumn="1" showRowStripes="1" showColumnStripes="0"/>
</table>
</file>

<file path=xl/tables/table3.xml><?xml version="1.0" encoding="utf-8"?>
<table xmlns="http://schemas.openxmlformats.org/spreadsheetml/2006/main" id="4" name="Table_4" displayName="Table_4" ref="A1:P16">
  <tableColumns count="16">
    <tableColumn id="1" name="Sr.No."/>
    <tableColumn id="2" name="PRN No."/>
    <tableColumn id="3" name="First Name"/>
    <tableColumn id="4" name="Middle Name"/>
    <tableColumn id="5" name="Last Name"/>
    <tableColumn id="6" name="Institute"/>
    <tableColumn id="7" name="Department"/>
    <tableColumn id="8" name="Adminssion Year "/>
    <tableColumn id="9" name="Roll No."/>
    <tableColumn id="10" name="Shift"/>
    <tableColumn id="11" name="Class"/>
    <tableColumn id="12" name="Division"/>
    <tableColumn id="13" name="Email id - Institute "/>
    <tableColumn id="14" name="Email id - Personal"/>
    <tableColumn id="15" name="Cell No."/>
    <tableColumn id="16" name="DOB"/>
  </tableColumns>
  <tableStyleInfo name="MITSOE-AERO-2017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000"/>
  <sheetViews>
    <sheetView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F2" sqref="F2"/>
    </sheetView>
  </sheetViews>
  <sheetFormatPr defaultColWidth="12.625" defaultRowHeight="15" customHeight="1"/>
  <cols>
    <col min="1" max="1" width="6.25" customWidth="1"/>
    <col min="2" max="2" width="8" customWidth="1"/>
    <col min="3" max="3" width="10" customWidth="1"/>
    <col min="4" max="4" width="12.5" customWidth="1"/>
    <col min="5" max="5" width="9.75" customWidth="1"/>
    <col min="6" max="6" width="8.375" customWidth="1"/>
    <col min="7" max="7" width="11.375" customWidth="1"/>
    <col min="8" max="8" width="15.25" customWidth="1"/>
    <col min="9" max="9" width="7.625" customWidth="1"/>
    <col min="10" max="10" width="5" customWidth="1"/>
    <col min="11" max="11" width="5.125" customWidth="1"/>
    <col min="12" max="12" width="7.75" customWidth="1"/>
    <col min="13" max="13" width="16.75" customWidth="1"/>
    <col min="14" max="14" width="16.875" customWidth="1"/>
    <col min="15" max="15" width="7.625" customWidth="1"/>
    <col min="16" max="16" width="4.75" customWidth="1"/>
    <col min="17" max="26" width="7.625" customWidth="1"/>
  </cols>
  <sheetData>
    <row r="1" spans="1:26" ht="19.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3" t="s">
        <v>15</v>
      </c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18.75">
      <c r="A2" s="5"/>
      <c r="B2" s="6"/>
      <c r="C2" s="7"/>
      <c r="D2" s="7"/>
      <c r="E2" s="7"/>
      <c r="F2" s="8"/>
      <c r="G2" s="8"/>
      <c r="H2" s="8"/>
      <c r="I2" s="8"/>
      <c r="J2" s="8"/>
      <c r="K2" s="8"/>
      <c r="L2" s="9"/>
      <c r="M2" s="10"/>
      <c r="N2" s="11"/>
      <c r="O2" s="12"/>
      <c r="P2" s="13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8.75">
      <c r="A3" s="5"/>
      <c r="B3" s="6"/>
      <c r="C3" s="7"/>
      <c r="D3" s="7"/>
      <c r="E3" s="7"/>
      <c r="F3" s="8"/>
      <c r="G3" s="8"/>
      <c r="H3" s="8"/>
      <c r="I3" s="8"/>
      <c r="J3" s="8"/>
      <c r="K3" s="8"/>
      <c r="L3" s="9"/>
      <c r="M3" s="10"/>
      <c r="N3" s="11"/>
      <c r="O3" s="12"/>
      <c r="P3" s="1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18.75">
      <c r="A4" s="5"/>
      <c r="B4" s="6"/>
      <c r="C4" s="7"/>
      <c r="D4" s="7"/>
      <c r="E4" s="7"/>
      <c r="F4" s="8"/>
      <c r="G4" s="8"/>
      <c r="H4" s="8"/>
      <c r="I4" s="8"/>
      <c r="J4" s="8"/>
      <c r="K4" s="8"/>
      <c r="L4" s="9"/>
      <c r="M4" s="10"/>
      <c r="N4" s="11"/>
      <c r="O4" s="12"/>
      <c r="P4" s="1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18.75">
      <c r="A5" s="5"/>
      <c r="B5" s="6"/>
      <c r="C5" s="7"/>
      <c r="D5" s="7"/>
      <c r="E5" s="7"/>
      <c r="F5" s="8"/>
      <c r="G5" s="8"/>
      <c r="H5" s="8"/>
      <c r="I5" s="8"/>
      <c r="J5" s="8"/>
      <c r="K5" s="8"/>
      <c r="L5" s="9"/>
      <c r="M5" s="10"/>
      <c r="N5" s="11"/>
      <c r="O5" s="12"/>
      <c r="P5" s="1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18.75">
      <c r="A6" s="5"/>
      <c r="B6" s="6"/>
      <c r="C6" s="7"/>
      <c r="D6" s="7"/>
      <c r="E6" s="7"/>
      <c r="F6" s="8"/>
      <c r="G6" s="8"/>
      <c r="H6" s="8"/>
      <c r="I6" s="8"/>
      <c r="J6" s="8"/>
      <c r="K6" s="8"/>
      <c r="L6" s="9"/>
      <c r="M6" s="10"/>
      <c r="N6" s="11"/>
      <c r="O6" s="12"/>
      <c r="P6" s="1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8.75">
      <c r="A7" s="5"/>
      <c r="B7" s="6"/>
      <c r="C7" s="7"/>
      <c r="D7" s="7"/>
      <c r="E7" s="7"/>
      <c r="F7" s="8"/>
      <c r="G7" s="8"/>
      <c r="H7" s="8"/>
      <c r="I7" s="8"/>
      <c r="J7" s="8"/>
      <c r="K7" s="8"/>
      <c r="L7" s="9"/>
      <c r="M7" s="10"/>
      <c r="N7" s="11"/>
      <c r="O7" s="12"/>
      <c r="P7" s="1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8.75">
      <c r="A8" s="5"/>
      <c r="B8" s="6"/>
      <c r="C8" s="7"/>
      <c r="D8" s="7"/>
      <c r="E8" s="7"/>
      <c r="F8" s="8"/>
      <c r="G8" s="8"/>
      <c r="H8" s="8"/>
      <c r="I8" s="8"/>
      <c r="J8" s="8"/>
      <c r="K8" s="8"/>
      <c r="L8" s="9"/>
      <c r="M8" s="10"/>
      <c r="N8" s="11"/>
      <c r="O8" s="12"/>
      <c r="P8" s="1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8.75">
      <c r="A9" s="5"/>
      <c r="B9" s="6"/>
      <c r="C9" s="7"/>
      <c r="D9" s="7"/>
      <c r="E9" s="7"/>
      <c r="F9" s="8"/>
      <c r="G9" s="8"/>
      <c r="H9" s="8"/>
      <c r="I9" s="8"/>
      <c r="J9" s="8"/>
      <c r="K9" s="8"/>
      <c r="L9" s="9"/>
      <c r="M9" s="10"/>
      <c r="N9" s="11"/>
      <c r="O9" s="12"/>
      <c r="P9" s="1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8.75">
      <c r="A10" s="5"/>
      <c r="B10" s="6"/>
      <c r="C10" s="7"/>
      <c r="D10" s="7"/>
      <c r="E10" s="7"/>
      <c r="F10" s="8"/>
      <c r="G10" s="8"/>
      <c r="H10" s="8"/>
      <c r="I10" s="8"/>
      <c r="J10" s="8"/>
      <c r="K10" s="8"/>
      <c r="L10" s="9"/>
      <c r="M10" s="10"/>
      <c r="N10" s="11"/>
      <c r="O10" s="12"/>
      <c r="P10" s="1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8.75">
      <c r="A11" s="5"/>
      <c r="B11" s="6"/>
      <c r="C11" s="7"/>
      <c r="D11" s="7"/>
      <c r="E11" s="7"/>
      <c r="F11" s="8"/>
      <c r="G11" s="8"/>
      <c r="H11" s="8"/>
      <c r="I11" s="8"/>
      <c r="J11" s="8"/>
      <c r="K11" s="8"/>
      <c r="L11" s="9"/>
      <c r="M11" s="10"/>
      <c r="N11" s="11"/>
      <c r="O11" s="12"/>
      <c r="P11" s="1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8.75">
      <c r="A12" s="5"/>
      <c r="B12" s="6"/>
      <c r="C12" s="7"/>
      <c r="D12" s="7"/>
      <c r="E12" s="7"/>
      <c r="F12" s="8"/>
      <c r="G12" s="8"/>
      <c r="H12" s="8"/>
      <c r="I12" s="8"/>
      <c r="J12" s="8"/>
      <c r="K12" s="8"/>
      <c r="L12" s="9"/>
      <c r="M12" s="10"/>
      <c r="N12" s="11"/>
      <c r="O12" s="12"/>
      <c r="P12" s="1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8.75">
      <c r="A13" s="5"/>
      <c r="B13" s="6"/>
      <c r="C13" s="7"/>
      <c r="D13" s="7"/>
      <c r="E13" s="7"/>
      <c r="F13" s="8"/>
      <c r="G13" s="8"/>
      <c r="H13" s="8"/>
      <c r="I13" s="8"/>
      <c r="J13" s="8"/>
      <c r="K13" s="8"/>
      <c r="L13" s="9"/>
      <c r="M13" s="10"/>
      <c r="N13" s="11"/>
      <c r="O13" s="12"/>
      <c r="P13" s="1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18.75">
      <c r="A14" s="5"/>
      <c r="B14" s="6"/>
      <c r="C14" s="7"/>
      <c r="D14" s="7"/>
      <c r="E14" s="7"/>
      <c r="F14" s="8"/>
      <c r="G14" s="8"/>
      <c r="H14" s="8"/>
      <c r="I14" s="8"/>
      <c r="J14" s="8"/>
      <c r="K14" s="8"/>
      <c r="L14" s="9"/>
      <c r="M14" s="10"/>
      <c r="N14" s="11"/>
      <c r="O14" s="12"/>
      <c r="P14" s="1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8.75">
      <c r="A15" s="5"/>
      <c r="B15" s="6"/>
      <c r="C15" s="7"/>
      <c r="D15" s="7"/>
      <c r="E15" s="7"/>
      <c r="F15" s="8"/>
      <c r="G15" s="8"/>
      <c r="H15" s="8"/>
      <c r="I15" s="8"/>
      <c r="J15" s="8"/>
      <c r="K15" s="8"/>
      <c r="L15" s="9"/>
      <c r="M15" s="10"/>
      <c r="N15" s="11"/>
      <c r="O15" s="12"/>
      <c r="P15" s="1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t="18.75">
      <c r="A16" s="15"/>
      <c r="B16" s="16"/>
      <c r="C16" s="17"/>
      <c r="D16" s="17"/>
      <c r="E16" s="17"/>
      <c r="F16" s="18"/>
      <c r="G16" s="18"/>
      <c r="H16" s="18"/>
      <c r="I16" s="18"/>
      <c r="J16" s="18"/>
      <c r="K16" s="18"/>
      <c r="L16" s="19"/>
      <c r="M16" s="20"/>
      <c r="N16" s="21"/>
      <c r="O16" s="22"/>
      <c r="P16" s="23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>
      <c r="A17" s="4"/>
      <c r="B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>
      <c r="A18" s="4"/>
      <c r="B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>
      <c r="A19" s="4"/>
      <c r="B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>
      <c r="A20" s="4"/>
      <c r="B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5.75" customHeight="1">
      <c r="A21" s="4"/>
      <c r="B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>
      <c r="A22" s="4"/>
      <c r="B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>
      <c r="A23" s="4"/>
      <c r="B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>
      <c r="A24" s="4"/>
      <c r="B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>
      <c r="A25" s="4"/>
      <c r="B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>
      <c r="A26" s="4"/>
      <c r="B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>
      <c r="A27" s="4"/>
      <c r="B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>
      <c r="A28" s="4"/>
      <c r="B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>
      <c r="A29" s="4"/>
      <c r="B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>
      <c r="A30" s="4"/>
      <c r="B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>
      <c r="A31" s="4"/>
      <c r="B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>
      <c r="A32" s="4"/>
      <c r="B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>
      <c r="A33" s="4"/>
      <c r="B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>
      <c r="A34" s="4"/>
      <c r="B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>
      <c r="A35" s="4"/>
      <c r="B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>
      <c r="A36" s="4"/>
      <c r="B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>
      <c r="A37" s="4"/>
      <c r="B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>
      <c r="A38" s="4"/>
      <c r="B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>
      <c r="A39" s="4"/>
      <c r="B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>
      <c r="A40" s="4"/>
      <c r="B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>
      <c r="A41" s="4"/>
      <c r="B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>
      <c r="A42" s="4"/>
      <c r="B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>
      <c r="A43" s="4"/>
      <c r="B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>
      <c r="A44" s="4"/>
      <c r="B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>
      <c r="A45" s="4"/>
      <c r="B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>
      <c r="A46" s="4"/>
      <c r="B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>
      <c r="A47" s="4"/>
      <c r="B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>
      <c r="A48" s="4"/>
      <c r="B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>
      <c r="A49" s="4"/>
      <c r="B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>
      <c r="A50" s="4"/>
      <c r="B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>
      <c r="A51" s="4"/>
      <c r="B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>
      <c r="A52" s="4"/>
      <c r="B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>
      <c r="A53" s="4"/>
      <c r="B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>
      <c r="A54" s="4"/>
      <c r="B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>
      <c r="A55" s="4"/>
      <c r="B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>
      <c r="A56" s="4"/>
      <c r="B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>
      <c r="A57" s="4"/>
      <c r="B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>
      <c r="A58" s="4"/>
      <c r="B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>
      <c r="A59" s="4"/>
      <c r="B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>
      <c r="A60" s="4"/>
      <c r="B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>
      <c r="A61" s="4"/>
      <c r="B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>
      <c r="A62" s="4"/>
      <c r="B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>
      <c r="A63" s="4"/>
      <c r="B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>
      <c r="A64" s="4"/>
      <c r="B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>
      <c r="A65" s="4"/>
      <c r="B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>
      <c r="A66" s="4"/>
      <c r="B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>
      <c r="A67" s="4"/>
      <c r="B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>
      <c r="A68" s="4"/>
      <c r="B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>
      <c r="A69" s="4"/>
      <c r="B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>
      <c r="A70" s="4"/>
      <c r="B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>
      <c r="A71" s="4"/>
      <c r="B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>
      <c r="A72" s="4"/>
      <c r="B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>
      <c r="A73" s="4"/>
      <c r="B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>
      <c r="A74" s="4"/>
      <c r="B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>
      <c r="A75" s="4"/>
      <c r="B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>
      <c r="A76" s="4"/>
      <c r="B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>
      <c r="A77" s="4"/>
      <c r="B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>
      <c r="A78" s="4"/>
      <c r="B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>
      <c r="A79" s="4"/>
      <c r="B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>
      <c r="A80" s="4"/>
      <c r="B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>
      <c r="A81" s="4"/>
      <c r="B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>
      <c r="A82" s="4"/>
      <c r="B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>
      <c r="A83" s="4"/>
      <c r="B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>
      <c r="A84" s="4"/>
      <c r="B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>
      <c r="A85" s="4"/>
      <c r="B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>
      <c r="A86" s="4"/>
      <c r="B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>
      <c r="A87" s="4"/>
      <c r="B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>
      <c r="A88" s="4"/>
      <c r="B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>
      <c r="A89" s="4"/>
      <c r="B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>
      <c r="A90" s="4"/>
      <c r="B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>
      <c r="A91" s="4"/>
      <c r="B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>
      <c r="A92" s="4"/>
      <c r="B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>
      <c r="A93" s="4"/>
      <c r="B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>
      <c r="A94" s="4"/>
      <c r="B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>
      <c r="A95" s="4"/>
      <c r="B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>
      <c r="A96" s="4"/>
      <c r="B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>
      <c r="A97" s="4"/>
      <c r="B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>
      <c r="A98" s="4"/>
      <c r="B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>
      <c r="A99" s="4"/>
      <c r="B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>
      <c r="A100" s="4"/>
      <c r="B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>
      <c r="A101" s="4"/>
      <c r="B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>
      <c r="A102" s="4"/>
      <c r="B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>
      <c r="A103" s="4"/>
      <c r="B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>
      <c r="A104" s="4"/>
      <c r="B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>
      <c r="A105" s="4"/>
      <c r="B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>
      <c r="A106" s="4"/>
      <c r="B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>
      <c r="A107" s="4"/>
      <c r="B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>
      <c r="A114" s="4"/>
      <c r="B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>
      <c r="A115" s="4"/>
      <c r="B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>
      <c r="A116" s="4"/>
      <c r="B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>
      <c r="A117" s="4"/>
      <c r="B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>
      <c r="A118" s="4"/>
      <c r="B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>
      <c r="A119" s="4"/>
      <c r="B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>
      <c r="A120" s="4"/>
      <c r="B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>
      <c r="A121" s="4"/>
      <c r="B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>
      <c r="A122" s="4"/>
      <c r="B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>
      <c r="A123" s="4"/>
      <c r="B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>
      <c r="A124" s="4"/>
      <c r="B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>
      <c r="A125" s="4"/>
      <c r="B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>
      <c r="A126" s="4"/>
      <c r="B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>
      <c r="A127" s="4"/>
      <c r="B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>
      <c r="A128" s="4"/>
      <c r="B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>
      <c r="A129" s="4"/>
      <c r="B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>
      <c r="A130" s="4"/>
      <c r="B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>
      <c r="A131" s="4"/>
      <c r="B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>
      <c r="A132" s="4"/>
      <c r="B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>
      <c r="A133" s="4"/>
      <c r="B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>
      <c r="A134" s="4"/>
      <c r="B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>
      <c r="A135" s="4"/>
      <c r="B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>
      <c r="A136" s="4"/>
      <c r="B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>
      <c r="A137" s="4"/>
      <c r="B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>
      <c r="A138" s="4"/>
      <c r="B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>
      <c r="A139" s="4"/>
      <c r="B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>
      <c r="A140" s="4"/>
      <c r="B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>
      <c r="A141" s="4"/>
      <c r="B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>
      <c r="A142" s="4"/>
      <c r="B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>
      <c r="A143" s="4"/>
      <c r="B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>
      <c r="A144" s="4"/>
      <c r="B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>
      <c r="A145" s="4"/>
      <c r="B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>
      <c r="A146" s="4"/>
      <c r="B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>
      <c r="A147" s="4"/>
      <c r="B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>
      <c r="A148" s="4"/>
      <c r="B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>
      <c r="A149" s="4"/>
      <c r="B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>
      <c r="A150" s="4"/>
      <c r="B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>
      <c r="A151" s="4"/>
      <c r="B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>
      <c r="A152" s="4"/>
      <c r="B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>
      <c r="A153" s="4"/>
      <c r="B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>
      <c r="A154" s="4"/>
      <c r="B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>
      <c r="A155" s="4"/>
      <c r="B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>
      <c r="A156" s="4"/>
      <c r="B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>
      <c r="A157" s="4"/>
      <c r="B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>
      <c r="A158" s="4"/>
      <c r="B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>
      <c r="A159" s="4"/>
      <c r="B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>
      <c r="A160" s="4"/>
      <c r="B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>
      <c r="A161" s="4"/>
      <c r="B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>
      <c r="A162" s="4"/>
      <c r="B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>
      <c r="A163" s="4"/>
      <c r="B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>
      <c r="A164" s="4"/>
      <c r="B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>
      <c r="A165" s="4"/>
      <c r="B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>
      <c r="A166" s="4"/>
      <c r="B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>
      <c r="A167" s="4"/>
      <c r="B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>
      <c r="A168" s="4"/>
      <c r="B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>
      <c r="A169" s="4"/>
      <c r="B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>
      <c r="A170" s="4"/>
      <c r="B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>
      <c r="A171" s="4"/>
      <c r="B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>
      <c r="A172" s="4"/>
      <c r="B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>
      <c r="A173" s="4"/>
      <c r="B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>
      <c r="A174" s="4"/>
      <c r="B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>
      <c r="A175" s="4"/>
      <c r="B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>
      <c r="A176" s="4"/>
      <c r="B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>
      <c r="A177" s="4"/>
      <c r="B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>
      <c r="A178" s="4"/>
      <c r="B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>
      <c r="A179" s="4"/>
      <c r="B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>
      <c r="A180" s="4"/>
      <c r="B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>
      <c r="A181" s="4"/>
      <c r="B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>
      <c r="A182" s="4"/>
      <c r="B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>
      <c r="A183" s="4"/>
      <c r="B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>
      <c r="A184" s="4"/>
      <c r="B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>
      <c r="A185" s="4"/>
      <c r="B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>
      <c r="A186" s="4"/>
      <c r="B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>
      <c r="A187" s="4"/>
      <c r="B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>
      <c r="A188" s="4"/>
      <c r="B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>
      <c r="A189" s="4"/>
      <c r="B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>
      <c r="A190" s="4"/>
      <c r="B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>
      <c r="A191" s="4"/>
      <c r="B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>
      <c r="A192" s="4"/>
      <c r="B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>
      <c r="A193" s="4"/>
      <c r="B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>
      <c r="A194" s="4"/>
      <c r="B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>
      <c r="A195" s="4"/>
      <c r="B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>
      <c r="A196" s="4"/>
      <c r="B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>
      <c r="A197" s="4"/>
      <c r="B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>
      <c r="A198" s="4"/>
      <c r="B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>
      <c r="A199" s="4"/>
      <c r="B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>
      <c r="A200" s="4"/>
      <c r="B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>
      <c r="A201" s="4"/>
      <c r="B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>
      <c r="A202" s="4"/>
      <c r="B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>
      <c r="A203" s="4"/>
      <c r="B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>
      <c r="A204" s="4"/>
      <c r="B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>
      <c r="A205" s="4"/>
      <c r="B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>
      <c r="A206" s="4"/>
      <c r="B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>
      <c r="A207" s="4"/>
      <c r="B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>
      <c r="A208" s="4"/>
      <c r="B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>
      <c r="A209" s="4"/>
      <c r="B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>
      <c r="A210" s="4"/>
      <c r="B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>
      <c r="A211" s="4"/>
      <c r="B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>
      <c r="A212" s="4"/>
      <c r="B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>
      <c r="A213" s="4"/>
      <c r="B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>
      <c r="A214" s="4"/>
      <c r="B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>
      <c r="A215" s="4"/>
      <c r="B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>
      <c r="A216" s="4"/>
      <c r="B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>
      <c r="A217" s="4"/>
      <c r="B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>
      <c r="A218" s="4"/>
      <c r="B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>
      <c r="A219" s="4"/>
      <c r="B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>
      <c r="A220" s="4"/>
      <c r="B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/>
    <row r="222" spans="1:26" ht="15.75" customHeight="1"/>
    <row r="223" spans="1:26" ht="15.75" customHeight="1"/>
    <row r="224" spans="1:26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0"/>
  <sheetViews>
    <sheetView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F2" sqref="F2"/>
    </sheetView>
  </sheetViews>
  <sheetFormatPr defaultColWidth="12.625" defaultRowHeight="15" customHeight="1"/>
  <cols>
    <col min="1" max="1" width="6.25" customWidth="1"/>
    <col min="2" max="2" width="8" customWidth="1"/>
    <col min="3" max="3" width="10" customWidth="1"/>
    <col min="4" max="4" width="12.5" customWidth="1"/>
    <col min="5" max="5" width="9.75" customWidth="1"/>
    <col min="6" max="6" width="8.375" customWidth="1"/>
    <col min="7" max="7" width="11.375" customWidth="1"/>
    <col min="8" max="8" width="15.25" customWidth="1"/>
    <col min="9" max="9" width="7.625" customWidth="1"/>
    <col min="10" max="10" width="5" customWidth="1"/>
    <col min="11" max="11" width="5.125" customWidth="1"/>
    <col min="12" max="12" width="7.75" customWidth="1"/>
    <col min="13" max="13" width="16.75" customWidth="1"/>
    <col min="14" max="14" width="16.875" customWidth="1"/>
    <col min="15" max="15" width="7.625" customWidth="1"/>
    <col min="16" max="16" width="4.75" customWidth="1"/>
    <col min="17" max="26" width="7.625" customWidth="1"/>
  </cols>
  <sheetData>
    <row r="1" spans="1:26" ht="19.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3" t="s">
        <v>15</v>
      </c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18.75">
      <c r="A2" s="5"/>
      <c r="B2" s="6"/>
      <c r="C2" s="7"/>
      <c r="D2" s="7"/>
      <c r="E2" s="7"/>
      <c r="F2" s="8"/>
      <c r="G2" s="8"/>
      <c r="H2" s="8"/>
      <c r="I2" s="8"/>
      <c r="J2" s="8"/>
      <c r="K2" s="8"/>
      <c r="L2" s="9"/>
      <c r="M2" s="10"/>
      <c r="N2" s="11"/>
      <c r="O2" s="12"/>
      <c r="P2" s="13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8.75">
      <c r="A3" s="5"/>
      <c r="B3" s="6"/>
      <c r="C3" s="7"/>
      <c r="D3" s="7"/>
      <c r="E3" s="7"/>
      <c r="F3" s="8"/>
      <c r="G3" s="8"/>
      <c r="H3" s="8"/>
      <c r="I3" s="8"/>
      <c r="J3" s="8"/>
      <c r="K3" s="8"/>
      <c r="L3" s="9"/>
      <c r="M3" s="10"/>
      <c r="N3" s="11"/>
      <c r="O3" s="12"/>
      <c r="P3" s="1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18.75">
      <c r="A4" s="5"/>
      <c r="B4" s="6"/>
      <c r="C4" s="7"/>
      <c r="D4" s="7"/>
      <c r="E4" s="7"/>
      <c r="F4" s="8"/>
      <c r="G4" s="8"/>
      <c r="H4" s="8"/>
      <c r="I4" s="8"/>
      <c r="J4" s="8"/>
      <c r="K4" s="8"/>
      <c r="L4" s="9"/>
      <c r="M4" s="10"/>
      <c r="N4" s="11"/>
      <c r="O4" s="12"/>
      <c r="P4" s="1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18.75">
      <c r="A5" s="5"/>
      <c r="B5" s="6"/>
      <c r="C5" s="7"/>
      <c r="D5" s="7"/>
      <c r="E5" s="7"/>
      <c r="F5" s="8"/>
      <c r="G5" s="8"/>
      <c r="H5" s="8"/>
      <c r="I5" s="8"/>
      <c r="J5" s="8"/>
      <c r="K5" s="8"/>
      <c r="L5" s="9"/>
      <c r="M5" s="10"/>
      <c r="N5" s="11"/>
      <c r="O5" s="12"/>
      <c r="P5" s="1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18.75">
      <c r="A6" s="5"/>
      <c r="B6" s="6"/>
      <c r="C6" s="7"/>
      <c r="D6" s="7"/>
      <c r="E6" s="7"/>
      <c r="F6" s="8"/>
      <c r="G6" s="8"/>
      <c r="H6" s="8"/>
      <c r="I6" s="8"/>
      <c r="J6" s="8"/>
      <c r="K6" s="8"/>
      <c r="L6" s="9"/>
      <c r="M6" s="10"/>
      <c r="N6" s="11"/>
      <c r="O6" s="12"/>
      <c r="P6" s="1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8.75">
      <c r="A7" s="5"/>
      <c r="B7" s="6"/>
      <c r="C7" s="7"/>
      <c r="D7" s="7"/>
      <c r="E7" s="7"/>
      <c r="F7" s="8"/>
      <c r="G7" s="8"/>
      <c r="H7" s="8"/>
      <c r="I7" s="8"/>
      <c r="J7" s="8"/>
      <c r="K7" s="8"/>
      <c r="L7" s="9"/>
      <c r="M7" s="10"/>
      <c r="N7" s="11"/>
      <c r="O7" s="12"/>
      <c r="P7" s="1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8.75">
      <c r="A8" s="5"/>
      <c r="B8" s="6"/>
      <c r="C8" s="7"/>
      <c r="D8" s="7"/>
      <c r="E8" s="7"/>
      <c r="F8" s="8"/>
      <c r="G8" s="8"/>
      <c r="H8" s="8"/>
      <c r="I8" s="8"/>
      <c r="J8" s="8"/>
      <c r="K8" s="8"/>
      <c r="L8" s="9"/>
      <c r="M8" s="10"/>
      <c r="N8" s="11"/>
      <c r="O8" s="12"/>
      <c r="P8" s="1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8.75">
      <c r="A9" s="5"/>
      <c r="B9" s="6"/>
      <c r="C9" s="7"/>
      <c r="D9" s="7"/>
      <c r="E9" s="7"/>
      <c r="F9" s="8"/>
      <c r="G9" s="8"/>
      <c r="H9" s="8"/>
      <c r="I9" s="8"/>
      <c r="J9" s="8"/>
      <c r="K9" s="8"/>
      <c r="L9" s="9"/>
      <c r="M9" s="10"/>
      <c r="N9" s="11"/>
      <c r="O9" s="12"/>
      <c r="P9" s="1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8.75">
      <c r="A10" s="5"/>
      <c r="B10" s="6"/>
      <c r="C10" s="7"/>
      <c r="D10" s="7"/>
      <c r="E10" s="7"/>
      <c r="F10" s="8"/>
      <c r="G10" s="8"/>
      <c r="H10" s="8"/>
      <c r="I10" s="8"/>
      <c r="J10" s="8"/>
      <c r="K10" s="8"/>
      <c r="L10" s="9"/>
      <c r="M10" s="10"/>
      <c r="N10" s="11"/>
      <c r="O10" s="12"/>
      <c r="P10" s="1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8.75">
      <c r="A11" s="5"/>
      <c r="B11" s="6"/>
      <c r="C11" s="7"/>
      <c r="D11" s="7"/>
      <c r="E11" s="7"/>
      <c r="F11" s="8"/>
      <c r="G11" s="8"/>
      <c r="H11" s="8"/>
      <c r="I11" s="8"/>
      <c r="J11" s="8"/>
      <c r="K11" s="8"/>
      <c r="L11" s="9"/>
      <c r="M11" s="10"/>
      <c r="N11" s="11"/>
      <c r="O11" s="12"/>
      <c r="P11" s="1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8.75">
      <c r="A12" s="5"/>
      <c r="B12" s="6"/>
      <c r="C12" s="7"/>
      <c r="D12" s="7"/>
      <c r="E12" s="7"/>
      <c r="F12" s="8"/>
      <c r="G12" s="8"/>
      <c r="H12" s="8"/>
      <c r="I12" s="8"/>
      <c r="J12" s="8"/>
      <c r="K12" s="8"/>
      <c r="L12" s="9"/>
      <c r="M12" s="10"/>
      <c r="N12" s="11"/>
      <c r="O12" s="12"/>
      <c r="P12" s="1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8.75">
      <c r="A13" s="5"/>
      <c r="B13" s="6"/>
      <c r="C13" s="7"/>
      <c r="D13" s="7"/>
      <c r="E13" s="7"/>
      <c r="F13" s="8"/>
      <c r="G13" s="8"/>
      <c r="H13" s="8"/>
      <c r="I13" s="8"/>
      <c r="J13" s="8"/>
      <c r="K13" s="8"/>
      <c r="L13" s="9"/>
      <c r="M13" s="10"/>
      <c r="N13" s="11"/>
      <c r="O13" s="12"/>
      <c r="P13" s="1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18.75">
      <c r="A14" s="5"/>
      <c r="B14" s="6"/>
      <c r="C14" s="7"/>
      <c r="D14" s="7"/>
      <c r="E14" s="7"/>
      <c r="F14" s="8"/>
      <c r="G14" s="8"/>
      <c r="H14" s="8"/>
      <c r="I14" s="8"/>
      <c r="J14" s="8"/>
      <c r="K14" s="8"/>
      <c r="L14" s="9"/>
      <c r="M14" s="10"/>
      <c r="N14" s="11"/>
      <c r="O14" s="12"/>
      <c r="P14" s="1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8.75">
      <c r="A15" s="5"/>
      <c r="B15" s="6"/>
      <c r="C15" s="7"/>
      <c r="D15" s="7"/>
      <c r="E15" s="7"/>
      <c r="F15" s="8"/>
      <c r="G15" s="8"/>
      <c r="H15" s="8"/>
      <c r="I15" s="8"/>
      <c r="J15" s="8"/>
      <c r="K15" s="8"/>
      <c r="L15" s="9"/>
      <c r="M15" s="10"/>
      <c r="N15" s="11"/>
      <c r="O15" s="12"/>
      <c r="P15" s="1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t="18.75">
      <c r="A16" s="15"/>
      <c r="B16" s="16"/>
      <c r="C16" s="17"/>
      <c r="D16" s="17"/>
      <c r="E16" s="17"/>
      <c r="F16" s="18"/>
      <c r="G16" s="18"/>
      <c r="H16" s="18"/>
      <c r="I16" s="18"/>
      <c r="J16" s="18"/>
      <c r="K16" s="18"/>
      <c r="L16" s="19"/>
      <c r="M16" s="20"/>
      <c r="N16" s="21"/>
      <c r="O16" s="22"/>
      <c r="P16" s="23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>
      <c r="A17" s="4"/>
      <c r="B17" s="4"/>
      <c r="C17" s="2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>
      <c r="A18" s="4"/>
      <c r="B18" s="4"/>
      <c r="C18" s="2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>
      <c r="A19" s="4"/>
      <c r="B19" s="4"/>
      <c r="C19" s="2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>
      <c r="A20" s="4"/>
      <c r="B20" s="4"/>
      <c r="C20" s="2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5.75" customHeight="1">
      <c r="A21" s="4"/>
      <c r="B21" s="4"/>
      <c r="C21" s="2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>
      <c r="A22" s="4"/>
      <c r="B22" s="4"/>
      <c r="C22" s="2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>
      <c r="A23" s="4"/>
      <c r="B23" s="4"/>
      <c r="C23" s="2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>
      <c r="A24" s="4"/>
      <c r="B24" s="4"/>
      <c r="C24" s="2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>
      <c r="A25" s="4"/>
      <c r="B25" s="4"/>
      <c r="C25" s="2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>
      <c r="A26" s="4"/>
      <c r="B26" s="4"/>
      <c r="C26" s="2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>
      <c r="A27" s="4"/>
      <c r="B27" s="4"/>
      <c r="C27" s="2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>
      <c r="A28" s="4"/>
      <c r="B28" s="4"/>
      <c r="C28" s="2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>
      <c r="A29" s="4"/>
      <c r="B29" s="4"/>
      <c r="C29" s="2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>
      <c r="A30" s="4"/>
      <c r="B30" s="4"/>
      <c r="C30" s="2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>
      <c r="A31" s="4"/>
      <c r="B31" s="4"/>
      <c r="C31" s="2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>
      <c r="A32" s="4"/>
      <c r="B32" s="4"/>
      <c r="C32" s="2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>
      <c r="A33" s="4"/>
      <c r="B33" s="4"/>
      <c r="C33" s="2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>
      <c r="A34" s="4"/>
      <c r="B34" s="4"/>
      <c r="C34" s="2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>
      <c r="A35" s="4"/>
      <c r="B35" s="4"/>
      <c r="C35" s="2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>
      <c r="A36" s="4"/>
      <c r="B36" s="4"/>
      <c r="C36" s="2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>
      <c r="A37" s="4"/>
      <c r="B37" s="4"/>
      <c r="C37" s="2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>
      <c r="A38" s="4"/>
      <c r="B38" s="4"/>
      <c r="C38" s="2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>
      <c r="A39" s="4"/>
      <c r="B39" s="4"/>
      <c r="C39" s="2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>
      <c r="A40" s="4"/>
      <c r="B40" s="4"/>
      <c r="C40" s="2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>
      <c r="A41" s="4"/>
      <c r="B41" s="4"/>
      <c r="C41" s="2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>
      <c r="A42" s="4"/>
      <c r="B42" s="4"/>
      <c r="C42" s="2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>
      <c r="A43" s="4"/>
      <c r="B43" s="4"/>
      <c r="C43" s="2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>
      <c r="A44" s="4"/>
      <c r="B44" s="4"/>
      <c r="C44" s="2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>
      <c r="A45" s="4"/>
      <c r="B45" s="4"/>
      <c r="C45" s="2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>
      <c r="A46" s="4"/>
      <c r="B46" s="4"/>
      <c r="C46" s="2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>
      <c r="A47" s="4"/>
      <c r="B47" s="4"/>
      <c r="C47" s="2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>
      <c r="A48" s="4"/>
      <c r="B48" s="4"/>
      <c r="C48" s="2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>
      <c r="A49" s="4"/>
      <c r="B49" s="4"/>
      <c r="C49" s="2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>
      <c r="A50" s="4"/>
      <c r="B50" s="4"/>
      <c r="C50" s="2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>
      <c r="A51" s="4"/>
      <c r="B51" s="4"/>
      <c r="C51" s="2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>
      <c r="A52" s="4"/>
      <c r="B52" s="4"/>
      <c r="C52" s="2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>
      <c r="A53" s="4"/>
      <c r="B53" s="4"/>
      <c r="C53" s="2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>
      <c r="A54" s="4"/>
      <c r="B54" s="4"/>
      <c r="C54" s="2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>
      <c r="A55" s="4"/>
      <c r="B55" s="4"/>
      <c r="C55" s="2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>
      <c r="A56" s="4"/>
      <c r="B56" s="4"/>
      <c r="C56" s="2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>
      <c r="A57" s="4"/>
      <c r="B57" s="4"/>
      <c r="C57" s="2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>
      <c r="A58" s="4"/>
      <c r="B58" s="4"/>
      <c r="C58" s="2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>
      <c r="A59" s="4"/>
      <c r="B59" s="4"/>
      <c r="C59" s="2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>
      <c r="A60" s="4"/>
      <c r="B60" s="4"/>
      <c r="C60" s="2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>
      <c r="A61" s="4"/>
      <c r="B61" s="4"/>
      <c r="C61" s="2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>
      <c r="A62" s="4"/>
      <c r="B62" s="4"/>
      <c r="C62" s="2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>
      <c r="A63" s="4"/>
      <c r="B63" s="4"/>
      <c r="C63" s="2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>
      <c r="A64" s="4"/>
      <c r="B64" s="4"/>
      <c r="C64" s="2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>
      <c r="A65" s="4"/>
      <c r="B65" s="4"/>
      <c r="C65" s="2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>
      <c r="A66" s="4"/>
      <c r="B66" s="4"/>
      <c r="C66" s="2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>
      <c r="A67" s="4"/>
      <c r="B67" s="4"/>
      <c r="C67" s="2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>
      <c r="A68" s="4"/>
      <c r="B68" s="4"/>
      <c r="C68" s="2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>
      <c r="A69" s="4"/>
      <c r="B69" s="4"/>
      <c r="C69" s="2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>
      <c r="A70" s="4"/>
      <c r="B70" s="4"/>
      <c r="C70" s="2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>
      <c r="A71" s="4"/>
      <c r="B71" s="4"/>
      <c r="C71" s="2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>
      <c r="A72" s="4"/>
      <c r="B72" s="4"/>
      <c r="C72" s="2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>
      <c r="A73" s="4"/>
      <c r="B73" s="4"/>
      <c r="C73" s="2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>
      <c r="A74" s="4"/>
      <c r="B74" s="4"/>
      <c r="C74" s="2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>
      <c r="A75" s="4"/>
      <c r="B75" s="4"/>
      <c r="C75" s="2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>
      <c r="A76" s="4"/>
      <c r="B76" s="4"/>
      <c r="C76" s="2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>
      <c r="A77" s="4"/>
      <c r="B77" s="4"/>
      <c r="C77" s="2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>
      <c r="A78" s="4"/>
      <c r="B78" s="4"/>
      <c r="C78" s="2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>
      <c r="A79" s="4"/>
      <c r="B79" s="4"/>
      <c r="C79" s="2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>
      <c r="A80" s="4"/>
      <c r="B80" s="4"/>
      <c r="C80" s="2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>
      <c r="A81" s="4"/>
      <c r="B81" s="4"/>
      <c r="C81" s="2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>
      <c r="A82" s="4"/>
      <c r="B82" s="4"/>
      <c r="C82" s="2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>
      <c r="A83" s="4"/>
      <c r="B83" s="4"/>
      <c r="C83" s="2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>
      <c r="A84" s="4"/>
      <c r="B84" s="4"/>
      <c r="C84" s="2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>
      <c r="A85" s="4"/>
      <c r="B85" s="4"/>
      <c r="C85" s="2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>
      <c r="A86" s="4"/>
      <c r="B86" s="4"/>
      <c r="C86" s="2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>
      <c r="A87" s="4"/>
      <c r="B87" s="4"/>
      <c r="C87" s="2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>
      <c r="A88" s="4"/>
      <c r="B88" s="4"/>
      <c r="C88" s="2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>
      <c r="A89" s="4"/>
      <c r="B89" s="4"/>
      <c r="C89" s="2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>
      <c r="A90" s="4"/>
      <c r="B90" s="4"/>
      <c r="C90" s="2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>
      <c r="A91" s="4"/>
      <c r="B91" s="4"/>
      <c r="C91" s="2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>
      <c r="A92" s="4"/>
      <c r="B92" s="4"/>
      <c r="C92" s="2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>
      <c r="A93" s="4"/>
      <c r="B93" s="4"/>
      <c r="C93" s="2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>
      <c r="A94" s="4"/>
      <c r="B94" s="4"/>
      <c r="C94" s="2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>
      <c r="A95" s="4"/>
      <c r="B95" s="4"/>
      <c r="C95" s="2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>
      <c r="A96" s="4"/>
      <c r="B96" s="4"/>
      <c r="C96" s="2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>
      <c r="A97" s="4"/>
      <c r="B97" s="4"/>
      <c r="C97" s="2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>
      <c r="A98" s="4"/>
      <c r="B98" s="4"/>
      <c r="C98" s="2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>
      <c r="A99" s="4"/>
      <c r="B99" s="4"/>
      <c r="C99" s="2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>
      <c r="A100" s="4"/>
      <c r="B100" s="4"/>
      <c r="C100" s="2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>
      <c r="A101" s="4"/>
      <c r="B101" s="4"/>
      <c r="C101" s="2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>
      <c r="A102" s="4"/>
      <c r="B102" s="4"/>
      <c r="C102" s="2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>
      <c r="A103" s="4"/>
      <c r="B103" s="4"/>
      <c r="C103" s="2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>
      <c r="A104" s="4"/>
      <c r="B104" s="4"/>
      <c r="C104" s="2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>
      <c r="A105" s="4"/>
      <c r="B105" s="4"/>
      <c r="C105" s="2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>
      <c r="A106" s="4"/>
      <c r="B106" s="4"/>
      <c r="C106" s="2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>
      <c r="A107" s="4"/>
      <c r="B107" s="4"/>
      <c r="C107" s="2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>
      <c r="A108" s="4"/>
      <c r="B108" s="4"/>
      <c r="C108" s="2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>
      <c r="A109" s="4"/>
      <c r="B109" s="4"/>
      <c r="C109" s="2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>
      <c r="A110" s="4"/>
      <c r="B110" s="4"/>
      <c r="C110" s="2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>
      <c r="A111" s="4"/>
      <c r="B111" s="4"/>
      <c r="C111" s="2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>
      <c r="A112" s="4"/>
      <c r="B112" s="4"/>
      <c r="C112" s="2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>
      <c r="A113" s="4"/>
      <c r="B113" s="4"/>
      <c r="C113" s="2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>
      <c r="A114" s="4"/>
      <c r="B114" s="4"/>
      <c r="C114" s="2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>
      <c r="A115" s="4"/>
      <c r="B115" s="4"/>
      <c r="C115" s="2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>
      <c r="A116" s="4"/>
      <c r="B116" s="4"/>
      <c r="C116" s="2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>
      <c r="A117" s="4"/>
      <c r="B117" s="4"/>
      <c r="C117" s="2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>
      <c r="A118" s="4"/>
      <c r="B118" s="4"/>
      <c r="C118" s="2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>
      <c r="A119" s="4"/>
      <c r="B119" s="4"/>
      <c r="C119" s="2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>
      <c r="A120" s="4"/>
      <c r="B120" s="4"/>
      <c r="C120" s="2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>
      <c r="A121" s="4"/>
      <c r="B121" s="4"/>
      <c r="C121" s="2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>
      <c r="A122" s="4"/>
      <c r="B122" s="4"/>
      <c r="C122" s="2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>
      <c r="A123" s="4"/>
      <c r="B123" s="4"/>
      <c r="C123" s="2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>
      <c r="A124" s="4"/>
      <c r="B124" s="4"/>
      <c r="C124" s="2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>
      <c r="A125" s="4"/>
      <c r="B125" s="4"/>
      <c r="C125" s="2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>
      <c r="A126" s="4"/>
      <c r="B126" s="4"/>
      <c r="C126" s="2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>
      <c r="A127" s="4"/>
      <c r="B127" s="4"/>
      <c r="C127" s="2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>
      <c r="A128" s="4"/>
      <c r="B128" s="4"/>
      <c r="C128" s="2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>
      <c r="A129" s="4"/>
      <c r="B129" s="4"/>
      <c r="C129" s="2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>
      <c r="A130" s="4"/>
      <c r="B130" s="4"/>
      <c r="C130" s="2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>
      <c r="A131" s="4"/>
      <c r="B131" s="4"/>
      <c r="C131" s="2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>
      <c r="A132" s="4"/>
      <c r="B132" s="4"/>
      <c r="C132" s="2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>
      <c r="A133" s="4"/>
      <c r="B133" s="4"/>
      <c r="C133" s="2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>
      <c r="A134" s="4"/>
      <c r="B134" s="4"/>
      <c r="C134" s="2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>
      <c r="A135" s="4"/>
      <c r="B135" s="4"/>
      <c r="C135" s="2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>
      <c r="A136" s="4"/>
      <c r="B136" s="4"/>
      <c r="C136" s="2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>
      <c r="A137" s="4"/>
      <c r="B137" s="4"/>
      <c r="C137" s="2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>
      <c r="A138" s="4"/>
      <c r="B138" s="4"/>
      <c r="C138" s="2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>
      <c r="A139" s="4"/>
      <c r="B139" s="4"/>
      <c r="C139" s="2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>
      <c r="A140" s="4"/>
      <c r="B140" s="4"/>
      <c r="C140" s="2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>
      <c r="A141" s="4"/>
      <c r="B141" s="4"/>
      <c r="C141" s="2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>
      <c r="A142" s="4"/>
      <c r="B142" s="4"/>
      <c r="C142" s="2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>
      <c r="A143" s="4"/>
      <c r="B143" s="4"/>
      <c r="C143" s="2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>
      <c r="A144" s="4"/>
      <c r="B144" s="4"/>
      <c r="C144" s="2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>
      <c r="A145" s="4"/>
      <c r="B145" s="4"/>
      <c r="C145" s="2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>
      <c r="A146" s="4"/>
      <c r="B146" s="4"/>
      <c r="C146" s="2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>
      <c r="A147" s="4"/>
      <c r="B147" s="4"/>
      <c r="C147" s="2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>
      <c r="A148" s="4"/>
      <c r="B148" s="4"/>
      <c r="C148" s="2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>
      <c r="A149" s="4"/>
      <c r="B149" s="4"/>
      <c r="C149" s="2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>
      <c r="A150" s="4"/>
      <c r="B150" s="4"/>
      <c r="C150" s="2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>
      <c r="A151" s="4"/>
      <c r="B151" s="4"/>
      <c r="C151" s="2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>
      <c r="A152" s="4"/>
      <c r="B152" s="4"/>
      <c r="C152" s="2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>
      <c r="A153" s="4"/>
      <c r="B153" s="4"/>
      <c r="C153" s="2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>
      <c r="A154" s="4"/>
      <c r="B154" s="4"/>
      <c r="C154" s="2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>
      <c r="A155" s="4"/>
      <c r="B155" s="4"/>
      <c r="C155" s="2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>
      <c r="A156" s="4"/>
      <c r="B156" s="4"/>
      <c r="C156" s="2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>
      <c r="A157" s="4"/>
      <c r="B157" s="4"/>
      <c r="C157" s="2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>
      <c r="A158" s="4"/>
      <c r="B158" s="4"/>
      <c r="C158" s="2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>
      <c r="A159" s="4"/>
      <c r="B159" s="4"/>
      <c r="C159" s="2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>
      <c r="A160" s="4"/>
      <c r="B160" s="4"/>
      <c r="C160" s="2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>
      <c r="A161" s="4"/>
      <c r="B161" s="4"/>
      <c r="C161" s="2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>
      <c r="A162" s="4"/>
      <c r="B162" s="4"/>
      <c r="C162" s="2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>
      <c r="A163" s="4"/>
      <c r="B163" s="4"/>
      <c r="C163" s="2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>
      <c r="A164" s="4"/>
      <c r="B164" s="4"/>
      <c r="C164" s="2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>
      <c r="A165" s="4"/>
      <c r="B165" s="4"/>
      <c r="C165" s="2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>
      <c r="A166" s="4"/>
      <c r="B166" s="4"/>
      <c r="C166" s="2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>
      <c r="A167" s="4"/>
      <c r="B167" s="4"/>
      <c r="C167" s="2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>
      <c r="A168" s="4"/>
      <c r="B168" s="4"/>
      <c r="C168" s="2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>
      <c r="A169" s="4"/>
      <c r="B169" s="4"/>
      <c r="C169" s="2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>
      <c r="A170" s="4"/>
      <c r="B170" s="4"/>
      <c r="C170" s="2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>
      <c r="A171" s="4"/>
      <c r="B171" s="4"/>
      <c r="C171" s="2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>
      <c r="A172" s="4"/>
      <c r="B172" s="4"/>
      <c r="C172" s="2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>
      <c r="A173" s="4"/>
      <c r="B173" s="4"/>
      <c r="C173" s="2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>
      <c r="A174" s="4"/>
      <c r="B174" s="4"/>
      <c r="C174" s="2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>
      <c r="A175" s="4"/>
      <c r="B175" s="4"/>
      <c r="C175" s="2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>
      <c r="A176" s="4"/>
      <c r="B176" s="4"/>
      <c r="C176" s="2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>
      <c r="A177" s="4"/>
      <c r="B177" s="4"/>
      <c r="C177" s="2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>
      <c r="A178" s="4"/>
      <c r="B178" s="4"/>
      <c r="C178" s="2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>
      <c r="A179" s="4"/>
      <c r="B179" s="4"/>
      <c r="C179" s="2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>
      <c r="A180" s="4"/>
      <c r="B180" s="4"/>
      <c r="C180" s="2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>
      <c r="A181" s="4"/>
      <c r="B181" s="4"/>
      <c r="C181" s="2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>
      <c r="A182" s="4"/>
      <c r="B182" s="4"/>
      <c r="C182" s="2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>
      <c r="A183" s="4"/>
      <c r="B183" s="4"/>
      <c r="C183" s="2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>
      <c r="A184" s="4"/>
      <c r="B184" s="4"/>
      <c r="C184" s="2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>
      <c r="A185" s="4"/>
      <c r="B185" s="4"/>
      <c r="C185" s="2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>
      <c r="A186" s="4"/>
      <c r="B186" s="4"/>
      <c r="C186" s="2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>
      <c r="A187" s="4"/>
      <c r="B187" s="4"/>
      <c r="C187" s="2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>
      <c r="A188" s="4"/>
      <c r="B188" s="4"/>
      <c r="C188" s="2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>
      <c r="A189" s="4"/>
      <c r="B189" s="4"/>
      <c r="C189" s="2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>
      <c r="A190" s="4"/>
      <c r="B190" s="4"/>
      <c r="C190" s="2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>
      <c r="A191" s="4"/>
      <c r="B191" s="4"/>
      <c r="C191" s="2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>
      <c r="A192" s="4"/>
      <c r="B192" s="4"/>
      <c r="C192" s="2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>
      <c r="A193" s="4"/>
      <c r="B193" s="4"/>
      <c r="C193" s="2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>
      <c r="A194" s="4"/>
      <c r="B194" s="4"/>
      <c r="C194" s="2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>
      <c r="A195" s="4"/>
      <c r="B195" s="4"/>
      <c r="C195" s="2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>
      <c r="A196" s="4"/>
      <c r="B196" s="4"/>
      <c r="C196" s="2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>
      <c r="A197" s="4"/>
      <c r="B197" s="4"/>
      <c r="C197" s="2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>
      <c r="A198" s="4"/>
      <c r="B198" s="4"/>
      <c r="C198" s="2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>
      <c r="A199" s="4"/>
      <c r="B199" s="4"/>
      <c r="C199" s="2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>
      <c r="A200" s="4"/>
      <c r="B200" s="4"/>
      <c r="C200" s="2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>
      <c r="A201" s="4"/>
      <c r="B201" s="4"/>
      <c r="C201" s="2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>
      <c r="A202" s="4"/>
      <c r="B202" s="4"/>
      <c r="C202" s="2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>
      <c r="A203" s="4"/>
      <c r="B203" s="4"/>
      <c r="C203" s="2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>
      <c r="A204" s="4"/>
      <c r="B204" s="4"/>
      <c r="C204" s="2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>
      <c r="A205" s="4"/>
      <c r="B205" s="4"/>
      <c r="C205" s="2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>
      <c r="A206" s="4"/>
      <c r="B206" s="4"/>
      <c r="C206" s="2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>
      <c r="A207" s="4"/>
      <c r="B207" s="4"/>
      <c r="C207" s="2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>
      <c r="A208" s="4"/>
      <c r="B208" s="4"/>
      <c r="C208" s="2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>
      <c r="A209" s="4"/>
      <c r="B209" s="4"/>
      <c r="C209" s="2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>
      <c r="A210" s="4"/>
      <c r="B210" s="4"/>
      <c r="C210" s="2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>
      <c r="A211" s="4"/>
      <c r="B211" s="4"/>
      <c r="C211" s="2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>
      <c r="A212" s="4"/>
      <c r="B212" s="4"/>
      <c r="C212" s="2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>
      <c r="A213" s="4"/>
      <c r="B213" s="4"/>
      <c r="C213" s="2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>
      <c r="A214" s="4"/>
      <c r="B214" s="4"/>
      <c r="C214" s="2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>
      <c r="A215" s="4"/>
      <c r="B215" s="4"/>
      <c r="C215" s="2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>
      <c r="A216" s="4"/>
      <c r="B216" s="4"/>
      <c r="C216" s="2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>
      <c r="A217" s="4"/>
      <c r="B217" s="4"/>
      <c r="C217" s="2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>
      <c r="A218" s="4"/>
      <c r="B218" s="4"/>
      <c r="C218" s="2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>
      <c r="A219" s="4"/>
      <c r="B219" s="4"/>
      <c r="C219" s="2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>
      <c r="A220" s="4"/>
      <c r="B220" s="4"/>
      <c r="C220" s="2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/>
    <row r="222" spans="1:26" ht="15.75" customHeight="1"/>
    <row r="223" spans="1:26" ht="15.75" customHeight="1"/>
    <row r="224" spans="1:26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1000"/>
  <sheetViews>
    <sheetView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F2" sqref="F2"/>
    </sheetView>
  </sheetViews>
  <sheetFormatPr defaultColWidth="12.625" defaultRowHeight="15" customHeight="1"/>
  <cols>
    <col min="1" max="1" width="6.25" customWidth="1"/>
    <col min="2" max="2" width="8" customWidth="1"/>
    <col min="3" max="3" width="10" customWidth="1"/>
    <col min="4" max="4" width="12.5" customWidth="1"/>
    <col min="5" max="5" width="9.75" customWidth="1"/>
    <col min="6" max="6" width="8.375" customWidth="1"/>
    <col min="7" max="7" width="11.375" customWidth="1"/>
    <col min="8" max="8" width="15.25" customWidth="1"/>
    <col min="9" max="9" width="7.625" customWidth="1"/>
    <col min="10" max="10" width="5" customWidth="1"/>
    <col min="11" max="11" width="5.125" customWidth="1"/>
    <col min="12" max="12" width="7.75" customWidth="1"/>
    <col min="13" max="13" width="16.75" customWidth="1"/>
    <col min="14" max="14" width="16.875" customWidth="1"/>
    <col min="15" max="15" width="7.625" customWidth="1"/>
    <col min="16" max="16" width="4.75" customWidth="1"/>
    <col min="17" max="26" width="7.625" customWidth="1"/>
  </cols>
  <sheetData>
    <row r="1" spans="1:26" ht="19.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3" t="s">
        <v>15</v>
      </c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18.75">
      <c r="A2" s="5"/>
      <c r="B2" s="6"/>
      <c r="C2" s="7"/>
      <c r="D2" s="7"/>
      <c r="E2" s="7"/>
      <c r="F2" s="8"/>
      <c r="G2" s="8"/>
      <c r="H2" s="8"/>
      <c r="I2" s="8"/>
      <c r="J2" s="8"/>
      <c r="K2" s="8"/>
      <c r="L2" s="9"/>
      <c r="M2" s="10"/>
      <c r="N2" s="11"/>
      <c r="O2" s="12"/>
      <c r="P2" s="13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8.75">
      <c r="A3" s="5"/>
      <c r="B3" s="6"/>
      <c r="C3" s="7"/>
      <c r="D3" s="7"/>
      <c r="E3" s="7"/>
      <c r="F3" s="8"/>
      <c r="G3" s="8"/>
      <c r="H3" s="8"/>
      <c r="I3" s="8"/>
      <c r="J3" s="8"/>
      <c r="K3" s="8"/>
      <c r="L3" s="9"/>
      <c r="M3" s="10"/>
      <c r="N3" s="11"/>
      <c r="O3" s="12"/>
      <c r="P3" s="1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18.75">
      <c r="A4" s="5"/>
      <c r="B4" s="6"/>
      <c r="C4" s="7"/>
      <c r="D4" s="7"/>
      <c r="E4" s="7"/>
      <c r="F4" s="8"/>
      <c r="G4" s="8"/>
      <c r="H4" s="8"/>
      <c r="I4" s="8"/>
      <c r="J4" s="8"/>
      <c r="K4" s="8"/>
      <c r="L4" s="9"/>
      <c r="M4" s="10"/>
      <c r="N4" s="11"/>
      <c r="O4" s="12"/>
      <c r="P4" s="1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18.75">
      <c r="A5" s="5"/>
      <c r="B5" s="6"/>
      <c r="C5" s="7"/>
      <c r="D5" s="7"/>
      <c r="E5" s="7"/>
      <c r="F5" s="8"/>
      <c r="G5" s="8"/>
      <c r="H5" s="8"/>
      <c r="I5" s="8"/>
      <c r="J5" s="8"/>
      <c r="K5" s="8"/>
      <c r="L5" s="9"/>
      <c r="M5" s="10"/>
      <c r="N5" s="11"/>
      <c r="O5" s="12"/>
      <c r="P5" s="1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18.75">
      <c r="A6" s="5"/>
      <c r="B6" s="6"/>
      <c r="C6" s="7"/>
      <c r="D6" s="7"/>
      <c r="E6" s="7"/>
      <c r="F6" s="8"/>
      <c r="G6" s="8"/>
      <c r="H6" s="8"/>
      <c r="I6" s="8"/>
      <c r="J6" s="8"/>
      <c r="K6" s="8"/>
      <c r="L6" s="9"/>
      <c r="M6" s="10"/>
      <c r="N6" s="11"/>
      <c r="O6" s="12"/>
      <c r="P6" s="1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8.75">
      <c r="A7" s="5"/>
      <c r="B7" s="6"/>
      <c r="C7" s="7"/>
      <c r="D7" s="7"/>
      <c r="E7" s="7"/>
      <c r="F7" s="8"/>
      <c r="G7" s="8"/>
      <c r="H7" s="8"/>
      <c r="I7" s="8"/>
      <c r="J7" s="8"/>
      <c r="K7" s="8"/>
      <c r="L7" s="9"/>
      <c r="M7" s="10"/>
      <c r="N7" s="11"/>
      <c r="O7" s="12"/>
      <c r="P7" s="1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8.75">
      <c r="A8" s="5"/>
      <c r="B8" s="6"/>
      <c r="C8" s="7"/>
      <c r="D8" s="7"/>
      <c r="E8" s="7"/>
      <c r="F8" s="8"/>
      <c r="G8" s="8"/>
      <c r="H8" s="8"/>
      <c r="I8" s="8"/>
      <c r="J8" s="8"/>
      <c r="K8" s="8"/>
      <c r="L8" s="9"/>
      <c r="M8" s="10"/>
      <c r="N8" s="11"/>
      <c r="O8" s="12"/>
      <c r="P8" s="1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8.75">
      <c r="A9" s="5"/>
      <c r="B9" s="6"/>
      <c r="C9" s="7"/>
      <c r="D9" s="7"/>
      <c r="E9" s="7"/>
      <c r="F9" s="8"/>
      <c r="G9" s="8"/>
      <c r="H9" s="8"/>
      <c r="I9" s="8"/>
      <c r="J9" s="8"/>
      <c r="K9" s="8"/>
      <c r="L9" s="9"/>
      <c r="M9" s="10"/>
      <c r="N9" s="11"/>
      <c r="O9" s="12"/>
      <c r="P9" s="1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8.75">
      <c r="A10" s="5"/>
      <c r="B10" s="6"/>
      <c r="C10" s="7"/>
      <c r="D10" s="7"/>
      <c r="E10" s="7"/>
      <c r="F10" s="8"/>
      <c r="G10" s="8"/>
      <c r="H10" s="8"/>
      <c r="I10" s="8"/>
      <c r="J10" s="8"/>
      <c r="K10" s="8"/>
      <c r="L10" s="9"/>
      <c r="M10" s="10"/>
      <c r="N10" s="11"/>
      <c r="O10" s="12"/>
      <c r="P10" s="1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8.75">
      <c r="A11" s="5"/>
      <c r="B11" s="6"/>
      <c r="C11" s="7"/>
      <c r="D11" s="7"/>
      <c r="E11" s="7"/>
      <c r="F11" s="8"/>
      <c r="G11" s="8"/>
      <c r="H11" s="8"/>
      <c r="I11" s="8"/>
      <c r="J11" s="8"/>
      <c r="K11" s="8"/>
      <c r="L11" s="9"/>
      <c r="M11" s="10"/>
      <c r="N11" s="11"/>
      <c r="O11" s="12"/>
      <c r="P11" s="1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8.75">
      <c r="A12" s="5"/>
      <c r="B12" s="6"/>
      <c r="C12" s="7"/>
      <c r="D12" s="7"/>
      <c r="E12" s="7"/>
      <c r="F12" s="8"/>
      <c r="G12" s="8"/>
      <c r="H12" s="8"/>
      <c r="I12" s="8"/>
      <c r="J12" s="8"/>
      <c r="K12" s="8"/>
      <c r="L12" s="9"/>
      <c r="M12" s="10"/>
      <c r="N12" s="11"/>
      <c r="O12" s="12"/>
      <c r="P12" s="1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8.75">
      <c r="A13" s="5"/>
      <c r="B13" s="6"/>
      <c r="C13" s="7"/>
      <c r="D13" s="7"/>
      <c r="E13" s="7"/>
      <c r="F13" s="8"/>
      <c r="G13" s="8"/>
      <c r="H13" s="8"/>
      <c r="I13" s="8"/>
      <c r="J13" s="8"/>
      <c r="K13" s="8"/>
      <c r="L13" s="9"/>
      <c r="M13" s="10"/>
      <c r="N13" s="11"/>
      <c r="O13" s="12"/>
      <c r="P13" s="1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18.75">
      <c r="A14" s="5"/>
      <c r="B14" s="6"/>
      <c r="C14" s="7"/>
      <c r="D14" s="7"/>
      <c r="E14" s="7"/>
      <c r="F14" s="8"/>
      <c r="G14" s="8"/>
      <c r="H14" s="8"/>
      <c r="I14" s="8"/>
      <c r="J14" s="8"/>
      <c r="K14" s="8"/>
      <c r="L14" s="9"/>
      <c r="M14" s="10"/>
      <c r="N14" s="11"/>
      <c r="O14" s="12"/>
      <c r="P14" s="1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8.75">
      <c r="A15" s="5"/>
      <c r="B15" s="6"/>
      <c r="C15" s="7"/>
      <c r="D15" s="7"/>
      <c r="E15" s="7"/>
      <c r="F15" s="8"/>
      <c r="G15" s="8"/>
      <c r="H15" s="8"/>
      <c r="I15" s="8"/>
      <c r="J15" s="8"/>
      <c r="K15" s="8"/>
      <c r="L15" s="9"/>
      <c r="M15" s="10"/>
      <c r="N15" s="11"/>
      <c r="O15" s="12"/>
      <c r="P15" s="1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t="18.75">
      <c r="A16" s="15"/>
      <c r="B16" s="16"/>
      <c r="C16" s="17"/>
      <c r="D16" s="17"/>
      <c r="E16" s="17"/>
      <c r="F16" s="18"/>
      <c r="G16" s="18"/>
      <c r="H16" s="18"/>
      <c r="I16" s="18"/>
      <c r="J16" s="18"/>
      <c r="K16" s="18"/>
      <c r="L16" s="19"/>
      <c r="M16" s="20"/>
      <c r="N16" s="21"/>
      <c r="O16" s="22"/>
      <c r="P16" s="23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>
      <c r="A17" s="4"/>
      <c r="B17" s="4"/>
      <c r="C17" s="2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>
      <c r="A18" s="4"/>
      <c r="B18" s="4"/>
      <c r="C18" s="2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>
      <c r="A19" s="4"/>
      <c r="B19" s="4"/>
      <c r="C19" s="2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>
      <c r="A20" s="4"/>
      <c r="B20" s="4"/>
      <c r="C20" s="2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5.75" customHeight="1">
      <c r="A21" s="4"/>
      <c r="B21" s="4"/>
      <c r="C21" s="2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>
      <c r="A22" s="4"/>
      <c r="B22" s="4"/>
      <c r="C22" s="2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>
      <c r="A23" s="4"/>
      <c r="B23" s="4"/>
      <c r="C23" s="2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>
      <c r="A24" s="4"/>
      <c r="B24" s="4"/>
      <c r="C24" s="2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>
      <c r="A25" s="4"/>
      <c r="B25" s="4"/>
      <c r="C25" s="2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>
      <c r="A26" s="4"/>
      <c r="B26" s="4"/>
      <c r="C26" s="2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>
      <c r="A27" s="4"/>
      <c r="B27" s="4"/>
      <c r="C27" s="2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>
      <c r="A28" s="4"/>
      <c r="B28" s="4"/>
      <c r="C28" s="2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>
      <c r="A29" s="4"/>
      <c r="B29" s="4"/>
      <c r="C29" s="2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>
      <c r="A30" s="4"/>
      <c r="B30" s="4"/>
      <c r="C30" s="2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>
      <c r="A31" s="4"/>
      <c r="B31" s="4"/>
      <c r="C31" s="2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>
      <c r="A32" s="4"/>
      <c r="B32" s="4"/>
      <c r="C32" s="2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>
      <c r="A33" s="4"/>
      <c r="B33" s="4"/>
      <c r="C33" s="2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>
      <c r="A34" s="4"/>
      <c r="B34" s="4"/>
      <c r="C34" s="2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>
      <c r="A35" s="4"/>
      <c r="B35" s="4"/>
      <c r="C35" s="2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>
      <c r="A36" s="4"/>
      <c r="B36" s="4"/>
      <c r="C36" s="2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>
      <c r="A37" s="4"/>
      <c r="B37" s="4"/>
      <c r="C37" s="2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>
      <c r="A38" s="4"/>
      <c r="B38" s="4"/>
      <c r="C38" s="2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>
      <c r="A39" s="4"/>
      <c r="B39" s="4"/>
      <c r="C39" s="2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>
      <c r="A40" s="4"/>
      <c r="B40" s="4"/>
      <c r="C40" s="2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>
      <c r="A41" s="4"/>
      <c r="B41" s="4"/>
      <c r="C41" s="2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>
      <c r="A42" s="4"/>
      <c r="B42" s="4"/>
      <c r="C42" s="2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>
      <c r="A43" s="4"/>
      <c r="B43" s="4"/>
      <c r="C43" s="2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>
      <c r="A44" s="4"/>
      <c r="B44" s="4"/>
      <c r="C44" s="2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>
      <c r="A45" s="4"/>
      <c r="B45" s="4"/>
      <c r="C45" s="2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>
      <c r="A46" s="4"/>
      <c r="B46" s="4"/>
      <c r="C46" s="2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>
      <c r="A47" s="4"/>
      <c r="B47" s="4"/>
      <c r="C47" s="2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>
      <c r="A48" s="4"/>
      <c r="B48" s="4"/>
      <c r="C48" s="2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>
      <c r="A49" s="4"/>
      <c r="B49" s="4"/>
      <c r="C49" s="2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>
      <c r="A50" s="4"/>
      <c r="B50" s="4"/>
      <c r="C50" s="2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>
      <c r="A51" s="4"/>
      <c r="B51" s="4"/>
      <c r="C51" s="2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>
      <c r="A52" s="4"/>
      <c r="B52" s="4"/>
      <c r="C52" s="2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>
      <c r="A53" s="4"/>
      <c r="B53" s="4"/>
      <c r="C53" s="2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>
      <c r="A54" s="4"/>
      <c r="B54" s="4"/>
      <c r="C54" s="2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>
      <c r="A55" s="4"/>
      <c r="B55" s="4"/>
      <c r="C55" s="2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>
      <c r="A56" s="4"/>
      <c r="B56" s="4"/>
      <c r="C56" s="2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>
      <c r="A57" s="4"/>
      <c r="B57" s="4"/>
      <c r="C57" s="2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>
      <c r="A58" s="4"/>
      <c r="B58" s="4"/>
      <c r="C58" s="2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>
      <c r="A59" s="4"/>
      <c r="B59" s="4"/>
      <c r="C59" s="2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>
      <c r="A60" s="4"/>
      <c r="B60" s="4"/>
      <c r="C60" s="2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>
      <c r="A61" s="4"/>
      <c r="B61" s="4"/>
      <c r="C61" s="2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>
      <c r="A62" s="4"/>
      <c r="B62" s="4"/>
      <c r="C62" s="2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>
      <c r="A63" s="4"/>
      <c r="B63" s="4"/>
      <c r="C63" s="2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>
      <c r="A64" s="4"/>
      <c r="B64" s="4"/>
      <c r="C64" s="2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>
      <c r="A65" s="4"/>
      <c r="B65" s="4"/>
      <c r="C65" s="2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>
      <c r="A66" s="4"/>
      <c r="B66" s="4"/>
      <c r="C66" s="2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>
      <c r="A67" s="4"/>
      <c r="B67" s="4"/>
      <c r="C67" s="2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>
      <c r="A68" s="4"/>
      <c r="B68" s="4"/>
      <c r="C68" s="2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>
      <c r="A69" s="4"/>
      <c r="B69" s="4"/>
      <c r="C69" s="2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>
      <c r="A70" s="4"/>
      <c r="B70" s="4"/>
      <c r="C70" s="2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>
      <c r="A71" s="4"/>
      <c r="B71" s="4"/>
      <c r="C71" s="2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>
      <c r="A72" s="4"/>
      <c r="B72" s="4"/>
      <c r="C72" s="2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>
      <c r="A73" s="4"/>
      <c r="B73" s="4"/>
      <c r="C73" s="2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>
      <c r="A74" s="4"/>
      <c r="B74" s="4"/>
      <c r="C74" s="2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>
      <c r="A75" s="4"/>
      <c r="B75" s="4"/>
      <c r="C75" s="2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>
      <c r="A76" s="4"/>
      <c r="B76" s="4"/>
      <c r="C76" s="2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>
      <c r="A77" s="4"/>
      <c r="B77" s="4"/>
      <c r="C77" s="2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>
      <c r="A78" s="4"/>
      <c r="B78" s="4"/>
      <c r="C78" s="2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>
      <c r="A79" s="4"/>
      <c r="B79" s="4"/>
      <c r="C79" s="2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>
      <c r="A80" s="4"/>
      <c r="B80" s="4"/>
      <c r="C80" s="2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>
      <c r="A81" s="4"/>
      <c r="B81" s="4"/>
      <c r="C81" s="2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>
      <c r="A82" s="4"/>
      <c r="B82" s="4"/>
      <c r="C82" s="2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>
      <c r="A83" s="4"/>
      <c r="B83" s="4"/>
      <c r="C83" s="2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>
      <c r="A84" s="4"/>
      <c r="B84" s="4"/>
      <c r="C84" s="2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>
      <c r="A85" s="4"/>
      <c r="B85" s="4"/>
      <c r="C85" s="2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>
      <c r="A86" s="4"/>
      <c r="B86" s="4"/>
      <c r="C86" s="2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>
      <c r="A87" s="4"/>
      <c r="B87" s="4"/>
      <c r="C87" s="2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>
      <c r="A88" s="4"/>
      <c r="B88" s="4"/>
      <c r="C88" s="2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>
      <c r="A89" s="4"/>
      <c r="B89" s="4"/>
      <c r="C89" s="2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>
      <c r="A90" s="4"/>
      <c r="B90" s="4"/>
      <c r="C90" s="2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>
      <c r="A91" s="4"/>
      <c r="B91" s="4"/>
      <c r="C91" s="2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>
      <c r="A92" s="4"/>
      <c r="B92" s="4"/>
      <c r="C92" s="2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>
      <c r="A93" s="4"/>
      <c r="B93" s="4"/>
      <c r="C93" s="2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>
      <c r="A94" s="4"/>
      <c r="B94" s="4"/>
      <c r="C94" s="2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>
      <c r="A95" s="4"/>
      <c r="B95" s="4"/>
      <c r="C95" s="2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>
      <c r="A96" s="4"/>
      <c r="B96" s="4"/>
      <c r="C96" s="2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>
      <c r="A97" s="4"/>
      <c r="B97" s="4"/>
      <c r="C97" s="2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>
      <c r="A98" s="4"/>
      <c r="B98" s="4"/>
      <c r="C98" s="2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>
      <c r="A99" s="4"/>
      <c r="B99" s="4"/>
      <c r="C99" s="2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>
      <c r="A100" s="4"/>
      <c r="B100" s="4"/>
      <c r="C100" s="2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>
      <c r="A101" s="4"/>
      <c r="B101" s="4"/>
      <c r="C101" s="2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>
      <c r="A102" s="4"/>
      <c r="B102" s="4"/>
      <c r="C102" s="2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>
      <c r="A103" s="4"/>
      <c r="B103" s="4"/>
      <c r="C103" s="2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>
      <c r="A104" s="4"/>
      <c r="B104" s="4"/>
      <c r="C104" s="2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>
      <c r="A105" s="4"/>
      <c r="B105" s="4"/>
      <c r="C105" s="2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>
      <c r="A106" s="4"/>
      <c r="B106" s="4"/>
      <c r="C106" s="2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>
      <c r="A107" s="4"/>
      <c r="B107" s="4"/>
      <c r="C107" s="2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>
      <c r="A108" s="4"/>
      <c r="B108" s="4"/>
      <c r="C108" s="2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>
      <c r="A109" s="4"/>
      <c r="B109" s="4"/>
      <c r="C109" s="2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>
      <c r="A110" s="4"/>
      <c r="B110" s="4"/>
      <c r="C110" s="2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>
      <c r="A111" s="4"/>
      <c r="B111" s="4"/>
      <c r="C111" s="2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>
      <c r="A112" s="4"/>
      <c r="B112" s="4"/>
      <c r="C112" s="2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>
      <c r="A113" s="4"/>
      <c r="B113" s="4"/>
      <c r="C113" s="2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>
      <c r="A114" s="4"/>
      <c r="B114" s="4"/>
      <c r="C114" s="2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>
      <c r="A115" s="4"/>
      <c r="B115" s="4"/>
      <c r="C115" s="2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>
      <c r="A116" s="4"/>
      <c r="B116" s="4"/>
      <c r="C116" s="2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>
      <c r="A117" s="4"/>
      <c r="B117" s="4"/>
      <c r="C117" s="2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>
      <c r="A118" s="4"/>
      <c r="B118" s="4"/>
      <c r="C118" s="2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>
      <c r="A119" s="4"/>
      <c r="B119" s="4"/>
      <c r="C119" s="2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>
      <c r="A120" s="4"/>
      <c r="B120" s="4"/>
      <c r="C120" s="2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>
      <c r="A121" s="4"/>
      <c r="B121" s="4"/>
      <c r="C121" s="2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>
      <c r="A122" s="4"/>
      <c r="B122" s="4"/>
      <c r="C122" s="2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>
      <c r="A123" s="4"/>
      <c r="B123" s="4"/>
      <c r="C123" s="2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>
      <c r="A124" s="4"/>
      <c r="B124" s="4"/>
      <c r="C124" s="2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>
      <c r="A125" s="4"/>
      <c r="B125" s="4"/>
      <c r="C125" s="2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>
      <c r="A126" s="4"/>
      <c r="B126" s="4"/>
      <c r="C126" s="2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>
      <c r="A127" s="4"/>
      <c r="B127" s="4"/>
      <c r="C127" s="2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>
      <c r="A128" s="4"/>
      <c r="B128" s="4"/>
      <c r="C128" s="2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>
      <c r="A129" s="4"/>
      <c r="B129" s="4"/>
      <c r="C129" s="2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>
      <c r="A130" s="4"/>
      <c r="B130" s="4"/>
      <c r="C130" s="2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>
      <c r="A131" s="4"/>
      <c r="B131" s="4"/>
      <c r="C131" s="2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>
      <c r="A132" s="4"/>
      <c r="B132" s="4"/>
      <c r="C132" s="2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>
      <c r="A133" s="4"/>
      <c r="B133" s="4"/>
      <c r="C133" s="2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>
      <c r="A134" s="4"/>
      <c r="B134" s="4"/>
      <c r="C134" s="2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>
      <c r="A135" s="4"/>
      <c r="B135" s="4"/>
      <c r="C135" s="2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>
      <c r="A136" s="4"/>
      <c r="B136" s="4"/>
      <c r="C136" s="2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>
      <c r="A137" s="4"/>
      <c r="B137" s="4"/>
      <c r="C137" s="2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>
      <c r="A138" s="4"/>
      <c r="B138" s="4"/>
      <c r="C138" s="2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>
      <c r="A139" s="4"/>
      <c r="B139" s="4"/>
      <c r="C139" s="2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>
      <c r="A140" s="4"/>
      <c r="B140" s="4"/>
      <c r="C140" s="2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>
      <c r="A141" s="4"/>
      <c r="B141" s="4"/>
      <c r="C141" s="2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>
      <c r="A142" s="4"/>
      <c r="B142" s="4"/>
      <c r="C142" s="2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>
      <c r="A143" s="4"/>
      <c r="B143" s="4"/>
      <c r="C143" s="2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>
      <c r="A144" s="4"/>
      <c r="B144" s="4"/>
      <c r="C144" s="2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>
      <c r="A145" s="4"/>
      <c r="B145" s="4"/>
      <c r="C145" s="2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>
      <c r="A146" s="4"/>
      <c r="B146" s="4"/>
      <c r="C146" s="2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>
      <c r="A147" s="4"/>
      <c r="B147" s="4"/>
      <c r="C147" s="2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>
      <c r="A148" s="4"/>
      <c r="B148" s="4"/>
      <c r="C148" s="2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>
      <c r="A149" s="4"/>
      <c r="B149" s="4"/>
      <c r="C149" s="2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>
      <c r="A150" s="4"/>
      <c r="B150" s="4"/>
      <c r="C150" s="2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>
      <c r="A151" s="4"/>
      <c r="B151" s="4"/>
      <c r="C151" s="2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>
      <c r="A152" s="4"/>
      <c r="B152" s="4"/>
      <c r="C152" s="2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>
      <c r="A153" s="4"/>
      <c r="B153" s="4"/>
      <c r="C153" s="2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>
      <c r="A154" s="4"/>
      <c r="B154" s="4"/>
      <c r="C154" s="2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>
      <c r="A155" s="4"/>
      <c r="B155" s="4"/>
      <c r="C155" s="2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>
      <c r="A156" s="4"/>
      <c r="B156" s="4"/>
      <c r="C156" s="2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>
      <c r="A157" s="4"/>
      <c r="B157" s="4"/>
      <c r="C157" s="2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>
      <c r="A158" s="4"/>
      <c r="B158" s="4"/>
      <c r="C158" s="2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>
      <c r="A159" s="4"/>
      <c r="B159" s="4"/>
      <c r="C159" s="2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>
      <c r="A160" s="4"/>
      <c r="B160" s="4"/>
      <c r="C160" s="2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>
      <c r="A161" s="4"/>
      <c r="B161" s="4"/>
      <c r="C161" s="2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>
      <c r="A162" s="4"/>
      <c r="B162" s="4"/>
      <c r="C162" s="2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>
      <c r="A163" s="4"/>
      <c r="B163" s="4"/>
      <c r="C163" s="2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>
      <c r="A164" s="4"/>
      <c r="B164" s="4"/>
      <c r="C164" s="2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>
      <c r="A165" s="4"/>
      <c r="B165" s="4"/>
      <c r="C165" s="2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>
      <c r="A166" s="4"/>
      <c r="B166" s="4"/>
      <c r="C166" s="2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>
      <c r="A167" s="4"/>
      <c r="B167" s="4"/>
      <c r="C167" s="2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>
      <c r="A168" s="4"/>
      <c r="B168" s="4"/>
      <c r="C168" s="2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>
      <c r="A169" s="4"/>
      <c r="B169" s="4"/>
      <c r="C169" s="2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>
      <c r="A170" s="4"/>
      <c r="B170" s="4"/>
      <c r="C170" s="2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>
      <c r="A171" s="4"/>
      <c r="B171" s="4"/>
      <c r="C171" s="2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>
      <c r="A172" s="4"/>
      <c r="B172" s="4"/>
      <c r="C172" s="2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>
      <c r="A173" s="4"/>
      <c r="B173" s="4"/>
      <c r="C173" s="2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>
      <c r="A174" s="4"/>
      <c r="B174" s="4"/>
      <c r="C174" s="2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>
      <c r="A175" s="4"/>
      <c r="B175" s="4"/>
      <c r="C175" s="2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>
      <c r="A176" s="4"/>
      <c r="B176" s="4"/>
      <c r="C176" s="2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>
      <c r="A177" s="4"/>
      <c r="B177" s="4"/>
      <c r="C177" s="2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>
      <c r="A178" s="4"/>
      <c r="B178" s="4"/>
      <c r="C178" s="2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>
      <c r="A179" s="4"/>
      <c r="B179" s="4"/>
      <c r="C179" s="2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>
      <c r="A180" s="4"/>
      <c r="B180" s="4"/>
      <c r="C180" s="2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>
      <c r="A181" s="4"/>
      <c r="B181" s="4"/>
      <c r="C181" s="2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>
      <c r="A182" s="4"/>
      <c r="B182" s="4"/>
      <c r="C182" s="2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>
      <c r="A183" s="4"/>
      <c r="B183" s="4"/>
      <c r="C183" s="2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>
      <c r="A184" s="4"/>
      <c r="B184" s="4"/>
      <c r="C184" s="2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>
      <c r="A185" s="4"/>
      <c r="B185" s="4"/>
      <c r="C185" s="2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>
      <c r="A186" s="4"/>
      <c r="B186" s="4"/>
      <c r="C186" s="2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>
      <c r="A187" s="4"/>
      <c r="B187" s="4"/>
      <c r="C187" s="2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>
      <c r="A188" s="4"/>
      <c r="B188" s="4"/>
      <c r="C188" s="2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>
      <c r="A189" s="4"/>
      <c r="B189" s="4"/>
      <c r="C189" s="2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>
      <c r="A190" s="4"/>
      <c r="B190" s="4"/>
      <c r="C190" s="2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>
      <c r="A191" s="4"/>
      <c r="B191" s="4"/>
      <c r="C191" s="2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>
      <c r="A192" s="4"/>
      <c r="B192" s="4"/>
      <c r="C192" s="2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>
      <c r="A193" s="4"/>
      <c r="B193" s="4"/>
      <c r="C193" s="2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>
      <c r="A194" s="4"/>
      <c r="B194" s="4"/>
      <c r="C194" s="2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>
      <c r="A195" s="4"/>
      <c r="B195" s="4"/>
      <c r="C195" s="2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>
      <c r="A196" s="4"/>
      <c r="B196" s="4"/>
      <c r="C196" s="2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>
      <c r="A197" s="4"/>
      <c r="B197" s="4"/>
      <c r="C197" s="2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>
      <c r="A198" s="4"/>
      <c r="B198" s="4"/>
      <c r="C198" s="2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>
      <c r="A199" s="4"/>
      <c r="B199" s="4"/>
      <c r="C199" s="2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>
      <c r="A200" s="4"/>
      <c r="B200" s="4"/>
      <c r="C200" s="2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>
      <c r="A201" s="4"/>
      <c r="B201" s="4"/>
      <c r="C201" s="2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>
      <c r="A202" s="4"/>
      <c r="B202" s="4"/>
      <c r="C202" s="2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>
      <c r="A203" s="4"/>
      <c r="B203" s="4"/>
      <c r="C203" s="2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>
      <c r="A204" s="4"/>
      <c r="B204" s="4"/>
      <c r="C204" s="2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>
      <c r="A205" s="4"/>
      <c r="B205" s="4"/>
      <c r="C205" s="2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>
      <c r="A206" s="4"/>
      <c r="B206" s="4"/>
      <c r="C206" s="2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>
      <c r="A207" s="4"/>
      <c r="B207" s="4"/>
      <c r="C207" s="2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>
      <c r="A208" s="4"/>
      <c r="B208" s="4"/>
      <c r="C208" s="2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>
      <c r="A209" s="4"/>
      <c r="B209" s="4"/>
      <c r="C209" s="2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>
      <c r="A210" s="4"/>
      <c r="B210" s="4"/>
      <c r="C210" s="2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>
      <c r="A211" s="4"/>
      <c r="B211" s="4"/>
      <c r="C211" s="2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>
      <c r="A212" s="4"/>
      <c r="B212" s="4"/>
      <c r="C212" s="2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>
      <c r="A213" s="4"/>
      <c r="B213" s="4"/>
      <c r="C213" s="2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>
      <c r="A214" s="4"/>
      <c r="B214" s="4"/>
      <c r="C214" s="2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>
      <c r="A215" s="4"/>
      <c r="B215" s="4"/>
      <c r="C215" s="2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>
      <c r="A216" s="4"/>
      <c r="B216" s="4"/>
      <c r="C216" s="2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>
      <c r="A217" s="4"/>
      <c r="B217" s="4"/>
      <c r="C217" s="2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>
      <c r="A218" s="4"/>
      <c r="B218" s="4"/>
      <c r="C218" s="2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>
      <c r="A219" s="4"/>
      <c r="B219" s="4"/>
      <c r="C219" s="2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>
      <c r="A220" s="4"/>
      <c r="B220" s="4"/>
      <c r="C220" s="2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/>
    <row r="222" spans="1:26" ht="15.75" customHeight="1"/>
    <row r="223" spans="1:26" ht="15.75" customHeight="1"/>
    <row r="224" spans="1:26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9:B39"/>
  <sheetViews>
    <sheetView workbookViewId="0">
      <selection activeCell="G23" sqref="G23"/>
    </sheetView>
  </sheetViews>
  <sheetFormatPr defaultRowHeight="14.25"/>
  <cols>
    <col min="2" max="2" width="79" bestFit="1" customWidth="1"/>
  </cols>
  <sheetData>
    <row r="9" spans="1:2" ht="15.75">
      <c r="A9" s="45">
        <v>1</v>
      </c>
      <c r="B9" s="71" t="s">
        <v>157</v>
      </c>
    </row>
    <row r="10" spans="1:2" ht="15">
      <c r="A10" s="45"/>
      <c r="B10" s="45"/>
    </row>
    <row r="11" spans="1:2" ht="15.75">
      <c r="A11" s="45">
        <v>2</v>
      </c>
      <c r="B11" s="71" t="s">
        <v>158</v>
      </c>
    </row>
    <row r="15" spans="1:2" ht="15">
      <c r="A15" s="45"/>
      <c r="B15" s="45"/>
    </row>
    <row r="20" spans="1:2" ht="15">
      <c r="A20" s="45"/>
      <c r="B20" s="45"/>
    </row>
    <row r="25" spans="1:2" ht="15">
      <c r="A25" s="69"/>
      <c r="B25" s="72" t="s">
        <v>161</v>
      </c>
    </row>
    <row r="26" spans="1:2" ht="15">
      <c r="A26" s="69"/>
      <c r="B26" s="72" t="s">
        <v>162</v>
      </c>
    </row>
    <row r="27" spans="1:2" ht="15.75">
      <c r="A27" s="70"/>
      <c r="B27" s="72" t="s">
        <v>163</v>
      </c>
    </row>
    <row r="28" spans="1:2" ht="15">
      <c r="A28" s="69"/>
      <c r="B28" s="72" t="s">
        <v>164</v>
      </c>
    </row>
    <row r="29" spans="1:2" ht="15">
      <c r="A29" s="69"/>
      <c r="B29" s="72" t="s">
        <v>165</v>
      </c>
    </row>
    <row r="30" spans="1:2" ht="15">
      <c r="A30" s="69"/>
      <c r="B30" s="72" t="s">
        <v>166</v>
      </c>
    </row>
    <row r="31" spans="1:2" ht="15">
      <c r="A31" s="69"/>
      <c r="B31" s="72" t="s">
        <v>167</v>
      </c>
    </row>
    <row r="33" spans="1:2" ht="15">
      <c r="A33">
        <v>3</v>
      </c>
      <c r="B33" s="71" t="s">
        <v>159</v>
      </c>
    </row>
    <row r="39" spans="1:2" ht="15">
      <c r="A39">
        <v>4</v>
      </c>
      <c r="B39" s="71" t="s">
        <v>160</v>
      </c>
    </row>
  </sheetData>
  <sheetProtection sheet="1" objects="1" scenarios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3:I27"/>
  <sheetViews>
    <sheetView tabSelected="1" workbookViewId="0">
      <selection activeCell="H20" sqref="H20"/>
    </sheetView>
  </sheetViews>
  <sheetFormatPr defaultColWidth="12.625" defaultRowHeight="15" customHeight="1"/>
  <cols>
    <col min="1" max="1" width="15.75" style="27" bestFit="1" customWidth="1"/>
    <col min="2" max="2" width="9.875" style="26" bestFit="1" customWidth="1"/>
    <col min="3" max="3" width="17.375" style="25" bestFit="1" customWidth="1"/>
    <col min="4" max="4" width="14.75" style="25" customWidth="1"/>
    <col min="5" max="5" width="16.25" style="25" bestFit="1" customWidth="1"/>
    <col min="6" max="6" width="6.625" style="25" customWidth="1"/>
    <col min="7" max="16384" width="12.625" style="25"/>
  </cols>
  <sheetData>
    <row r="3" spans="1:9" ht="15" customHeight="1" thickBot="1"/>
    <row r="4" spans="1:9" ht="15" customHeight="1">
      <c r="A4" s="60"/>
      <c r="B4" s="50"/>
      <c r="C4" s="50"/>
      <c r="D4" s="50"/>
      <c r="E4" s="50"/>
      <c r="F4" s="50"/>
      <c r="G4" s="50"/>
      <c r="H4" s="50"/>
      <c r="I4" s="51"/>
    </row>
    <row r="5" spans="1:9" ht="15" customHeight="1">
      <c r="A5" s="61"/>
      <c r="B5" s="46"/>
      <c r="C5" s="77" t="s">
        <v>146</v>
      </c>
      <c r="D5" s="77"/>
      <c r="E5" s="77"/>
      <c r="F5" s="77"/>
      <c r="G5" s="77"/>
      <c r="H5" s="46"/>
      <c r="I5" s="52"/>
    </row>
    <row r="6" spans="1:9" ht="15" customHeight="1">
      <c r="A6" s="61"/>
      <c r="B6" s="46"/>
      <c r="C6" s="77"/>
      <c r="D6" s="77"/>
      <c r="E6" s="77"/>
      <c r="F6" s="77"/>
      <c r="G6" s="77"/>
      <c r="H6" s="46"/>
      <c r="I6" s="52"/>
    </row>
    <row r="7" spans="1:9" ht="15" customHeight="1" thickBot="1">
      <c r="A7" s="61"/>
      <c r="B7" s="46"/>
      <c r="C7" s="46"/>
      <c r="D7" s="46"/>
      <c r="E7" s="46"/>
      <c r="F7" s="46"/>
      <c r="G7" s="46"/>
      <c r="H7" s="46"/>
      <c r="I7" s="52"/>
    </row>
    <row r="8" spans="1:9" ht="15" customHeight="1" thickTop="1" thickBot="1">
      <c r="A8" s="61"/>
      <c r="B8" s="80" t="s">
        <v>144</v>
      </c>
      <c r="C8" s="78"/>
      <c r="D8" s="81" t="s">
        <v>229</v>
      </c>
      <c r="E8" s="81"/>
      <c r="F8" s="81"/>
      <c r="G8" s="81"/>
      <c r="H8" s="46"/>
      <c r="I8" s="52"/>
    </row>
    <row r="9" spans="1:9" ht="15" customHeight="1" thickTop="1">
      <c r="A9" s="61"/>
      <c r="B9" s="46"/>
      <c r="C9" s="46"/>
      <c r="D9" s="46"/>
      <c r="E9" s="46"/>
      <c r="F9" s="46"/>
      <c r="G9" s="46"/>
      <c r="H9" s="46"/>
      <c r="I9" s="52"/>
    </row>
    <row r="10" spans="1:9" ht="15" customHeight="1" thickBot="1">
      <c r="A10" s="53"/>
      <c r="B10" s="49"/>
      <c r="C10" s="46"/>
      <c r="D10" s="46"/>
      <c r="E10" s="46"/>
      <c r="F10" s="46"/>
      <c r="G10" s="46"/>
      <c r="H10" s="46"/>
      <c r="I10" s="52"/>
    </row>
    <row r="11" spans="1:9" ht="15" customHeight="1" thickBot="1">
      <c r="A11" s="53"/>
      <c r="B11" s="88" t="s">
        <v>26</v>
      </c>
      <c r="C11" s="88"/>
      <c r="D11" s="89" t="s">
        <v>228</v>
      </c>
      <c r="E11" s="90"/>
      <c r="F11" s="46"/>
      <c r="G11" s="46"/>
      <c r="H11" s="46"/>
      <c r="I11" s="52"/>
    </row>
    <row r="12" spans="1:9" ht="15" customHeight="1" thickBot="1">
      <c r="A12" s="53"/>
      <c r="B12" s="91" t="s">
        <v>141</v>
      </c>
      <c r="C12" s="91"/>
      <c r="D12" s="47"/>
      <c r="E12" s="47"/>
      <c r="F12" s="46"/>
      <c r="G12" s="46"/>
      <c r="H12" s="46"/>
      <c r="I12" s="52"/>
    </row>
    <row r="13" spans="1:9" ht="15" customHeight="1" thickTop="1" thickBot="1">
      <c r="A13" s="53"/>
      <c r="B13" s="80" t="s">
        <v>145</v>
      </c>
      <c r="C13" s="78"/>
      <c r="D13" s="84">
        <v>44029</v>
      </c>
      <c r="E13" s="85"/>
      <c r="F13" s="46"/>
      <c r="G13" s="46"/>
      <c r="H13" s="46"/>
      <c r="I13" s="52"/>
    </row>
    <row r="14" spans="1:9" ht="15" customHeight="1" thickTop="1" thickBot="1">
      <c r="A14" s="53"/>
      <c r="B14" s="46"/>
      <c r="C14" s="46"/>
      <c r="D14" s="46"/>
      <c r="E14" s="86"/>
      <c r="F14" s="87"/>
      <c r="G14" s="46"/>
      <c r="H14" s="46"/>
      <c r="I14" s="52"/>
    </row>
    <row r="15" spans="1:9" ht="15" customHeight="1" thickTop="1" thickBot="1">
      <c r="A15" s="53"/>
      <c r="B15" s="82" t="s">
        <v>142</v>
      </c>
      <c r="C15" s="83"/>
      <c r="D15" s="62">
        <v>0.51041666666666663</v>
      </c>
      <c r="E15" s="86"/>
      <c r="F15" s="87"/>
      <c r="G15" s="58"/>
      <c r="H15" s="46"/>
      <c r="I15" s="52"/>
    </row>
    <row r="16" spans="1:9" ht="15" customHeight="1" thickTop="1" thickBot="1">
      <c r="A16" s="53"/>
      <c r="B16" s="48"/>
      <c r="C16" s="48"/>
      <c r="D16" s="46"/>
      <c r="E16" s="59"/>
      <c r="F16" s="95" t="s">
        <v>154</v>
      </c>
      <c r="G16" s="96"/>
      <c r="H16" s="97"/>
      <c r="I16" s="52"/>
    </row>
    <row r="17" spans="1:9" ht="15" customHeight="1" thickTop="1" thickBot="1">
      <c r="A17" s="53"/>
      <c r="B17" s="80" t="s">
        <v>143</v>
      </c>
      <c r="C17" s="78"/>
      <c r="D17" s="62">
        <v>0.5625</v>
      </c>
      <c r="E17" s="46"/>
      <c r="F17" s="64"/>
      <c r="G17" s="65"/>
      <c r="H17" s="51"/>
      <c r="I17" s="52"/>
    </row>
    <row r="18" spans="1:9" ht="15" customHeight="1" thickTop="1">
      <c r="A18" s="53"/>
      <c r="B18" s="49"/>
      <c r="C18" s="46"/>
      <c r="D18" s="46"/>
      <c r="E18" s="46"/>
      <c r="F18" s="92" t="s">
        <v>153</v>
      </c>
      <c r="G18" s="93"/>
      <c r="H18" s="74">
        <v>5</v>
      </c>
      <c r="I18" s="52"/>
    </row>
    <row r="19" spans="1:9" ht="15" customHeight="1" thickBot="1">
      <c r="A19" s="53"/>
      <c r="B19" s="49"/>
      <c r="C19" s="46"/>
      <c r="D19" s="46"/>
      <c r="E19" s="46"/>
      <c r="F19" s="61"/>
      <c r="G19" s="46"/>
      <c r="H19" s="52"/>
      <c r="I19" s="52"/>
    </row>
    <row r="20" spans="1:9" ht="15" customHeight="1" thickTop="1" thickBot="1">
      <c r="A20" s="53"/>
      <c r="B20" s="78" t="s">
        <v>147</v>
      </c>
      <c r="C20" s="79"/>
      <c r="D20" s="75">
        <f>(D17-D15)*1440</f>
        <v>75.000000000000057</v>
      </c>
      <c r="E20" s="46"/>
      <c r="F20" s="92" t="s">
        <v>155</v>
      </c>
      <c r="G20" s="94"/>
      <c r="H20" s="74">
        <v>6</v>
      </c>
      <c r="I20" s="52"/>
    </row>
    <row r="21" spans="1:9" ht="15" customHeight="1" thickTop="1" thickBot="1">
      <c r="A21" s="53"/>
      <c r="B21" s="49"/>
      <c r="C21" s="46"/>
      <c r="D21" s="46"/>
      <c r="E21" s="46"/>
      <c r="F21" s="61"/>
      <c r="G21" s="46"/>
      <c r="H21" s="52"/>
      <c r="I21" s="52"/>
    </row>
    <row r="22" spans="1:9" ht="15" customHeight="1" thickTop="1" thickBot="1">
      <c r="A22" s="53"/>
      <c r="B22" s="80" t="s">
        <v>152</v>
      </c>
      <c r="C22" s="78"/>
      <c r="D22" s="73">
        <v>0.7</v>
      </c>
      <c r="E22" s="46"/>
      <c r="F22" s="66"/>
      <c r="G22" s="56"/>
      <c r="H22" s="57"/>
      <c r="I22" s="52"/>
    </row>
    <row r="23" spans="1:9" ht="15" customHeight="1" thickTop="1">
      <c r="A23" s="53"/>
      <c r="B23" s="49"/>
      <c r="C23" s="46"/>
      <c r="D23" s="46"/>
      <c r="E23" s="46"/>
      <c r="F23" s="46"/>
      <c r="G23" s="46"/>
      <c r="H23" s="46"/>
      <c r="I23" s="52"/>
    </row>
    <row r="24" spans="1:9" ht="15" customHeight="1">
      <c r="A24" s="53"/>
      <c r="B24" s="49"/>
      <c r="C24" s="46"/>
      <c r="D24" s="46"/>
      <c r="E24" s="46"/>
      <c r="F24" s="46"/>
      <c r="G24" s="46"/>
      <c r="H24" s="46"/>
      <c r="I24" s="52"/>
    </row>
    <row r="25" spans="1:9" ht="15" customHeight="1">
      <c r="A25" s="53"/>
      <c r="B25" s="49"/>
      <c r="C25" s="46"/>
      <c r="D25" s="46"/>
      <c r="E25" s="46"/>
      <c r="F25" s="46"/>
      <c r="G25" s="46"/>
      <c r="H25" s="46"/>
      <c r="I25" s="52"/>
    </row>
    <row r="26" spans="1:9" ht="15" customHeight="1">
      <c r="A26" s="53"/>
      <c r="B26" s="49"/>
      <c r="C26" s="46"/>
      <c r="D26" s="46"/>
      <c r="E26" s="46"/>
      <c r="F26" s="46"/>
      <c r="G26" s="46"/>
      <c r="H26" s="46"/>
      <c r="I26" s="52"/>
    </row>
    <row r="27" spans="1:9" ht="15" customHeight="1" thickBot="1">
      <c r="A27" s="54"/>
      <c r="B27" s="55"/>
      <c r="C27" s="56"/>
      <c r="D27" s="56"/>
      <c r="E27" s="56"/>
      <c r="F27" s="56"/>
      <c r="G27" s="56"/>
      <c r="H27" s="56"/>
      <c r="I27" s="57"/>
    </row>
  </sheetData>
  <mergeCells count="17">
    <mergeCell ref="B22:C22"/>
    <mergeCell ref="F18:G18"/>
    <mergeCell ref="F20:G20"/>
    <mergeCell ref="F16:H16"/>
    <mergeCell ref="C5:G6"/>
    <mergeCell ref="B20:C20"/>
    <mergeCell ref="B8:C8"/>
    <mergeCell ref="D8:G8"/>
    <mergeCell ref="B15:C15"/>
    <mergeCell ref="B17:C17"/>
    <mergeCell ref="B13:C13"/>
    <mergeCell ref="D13:E13"/>
    <mergeCell ref="E14:E15"/>
    <mergeCell ref="F14:F15"/>
    <mergeCell ref="B11:C11"/>
    <mergeCell ref="D11:E11"/>
    <mergeCell ref="B12:C12"/>
  </mergeCell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teDiff">
                <anchor moveWithCells="1" sizeWithCells="1">
                  <from>
                    <xdr:col>3</xdr:col>
                    <xdr:colOff>228600</xdr:colOff>
                    <xdr:row>23</xdr:row>
                    <xdr:rowOff>28575</xdr:rowOff>
                  </from>
                  <to>
                    <xdr:col>5</xdr:col>
                    <xdr:colOff>171450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CSVFile">
                <anchor moveWithCells="1" sizeWithCells="1">
                  <from>
                    <xdr:col>7</xdr:col>
                    <xdr:colOff>95250</xdr:colOff>
                    <xdr:row>6</xdr:row>
                    <xdr:rowOff>180975</xdr:rowOff>
                  </from>
                  <to>
                    <xdr:col>8</xdr:col>
                    <xdr:colOff>209550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aveSheetToCSV">
                <anchor moveWithCells="1" sizeWithCells="1">
                  <from>
                    <xdr:col>5</xdr:col>
                    <xdr:colOff>447675</xdr:colOff>
                    <xdr:row>23</xdr:row>
                    <xdr:rowOff>19050</xdr:rowOff>
                  </from>
                  <to>
                    <xdr:col>8</xdr:col>
                    <xdr:colOff>323850</xdr:colOff>
                    <xdr:row>25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46"/>
  <sheetViews>
    <sheetView workbookViewId="0">
      <selection activeCell="A3" sqref="A3:A46"/>
    </sheetView>
  </sheetViews>
  <sheetFormatPr defaultRowHeight="14.25"/>
  <cols>
    <col min="1" max="1" width="11.375" customWidth="1"/>
    <col min="2" max="2" width="11.75" bestFit="1" customWidth="1"/>
    <col min="3" max="3" width="10.125" bestFit="1" customWidth="1"/>
    <col min="4" max="4" width="11.5" bestFit="1" customWidth="1"/>
  </cols>
  <sheetData>
    <row r="1" spans="1:6">
      <c r="A1" t="s">
        <v>21</v>
      </c>
      <c r="B1" t="s">
        <v>22</v>
      </c>
      <c r="C1" t="s">
        <v>23</v>
      </c>
    </row>
    <row r="2" spans="1:6">
      <c r="A2" t="s">
        <v>149</v>
      </c>
      <c r="B2" t="s">
        <v>24</v>
      </c>
      <c r="C2" t="s">
        <v>230</v>
      </c>
      <c r="D2" t="s">
        <v>231</v>
      </c>
      <c r="F2">
        <v>17</v>
      </c>
    </row>
    <row r="3" spans="1:6">
      <c r="A3" t="s">
        <v>27</v>
      </c>
      <c r="B3" t="s">
        <v>148</v>
      </c>
      <c r="C3" t="s">
        <v>230</v>
      </c>
      <c r="D3" t="s">
        <v>231</v>
      </c>
      <c r="F3">
        <v>17</v>
      </c>
    </row>
    <row r="4" spans="1:6">
      <c r="A4" t="s">
        <v>27</v>
      </c>
      <c r="B4" t="s">
        <v>25</v>
      </c>
      <c r="C4" t="s">
        <v>230</v>
      </c>
      <c r="D4" t="s">
        <v>232</v>
      </c>
      <c r="E4">
        <v>14</v>
      </c>
      <c r="F4">
        <v>17</v>
      </c>
    </row>
    <row r="5" spans="1:6">
      <c r="A5" t="s">
        <v>28</v>
      </c>
      <c r="B5" t="s">
        <v>148</v>
      </c>
      <c r="C5" t="s">
        <v>230</v>
      </c>
      <c r="D5" t="s">
        <v>231</v>
      </c>
      <c r="F5">
        <v>17</v>
      </c>
    </row>
    <row r="6" spans="1:6">
      <c r="A6" t="s">
        <v>28</v>
      </c>
      <c r="B6" t="s">
        <v>25</v>
      </c>
      <c r="C6" t="s">
        <v>230</v>
      </c>
      <c r="D6" t="s">
        <v>233</v>
      </c>
      <c r="E6">
        <v>-4</v>
      </c>
      <c r="F6">
        <v>17</v>
      </c>
    </row>
    <row r="7" spans="1:6">
      <c r="A7" t="s">
        <v>28</v>
      </c>
      <c r="B7" t="s">
        <v>24</v>
      </c>
      <c r="C7" t="s">
        <v>230</v>
      </c>
      <c r="D7" t="s">
        <v>234</v>
      </c>
      <c r="F7">
        <v>17</v>
      </c>
    </row>
    <row r="8" spans="1:6">
      <c r="A8" t="s">
        <v>28</v>
      </c>
      <c r="B8" t="s">
        <v>25</v>
      </c>
      <c r="C8" t="s">
        <v>230</v>
      </c>
      <c r="D8" t="s">
        <v>235</v>
      </c>
      <c r="E8">
        <v>-2</v>
      </c>
      <c r="F8">
        <v>17</v>
      </c>
    </row>
    <row r="9" spans="1:6">
      <c r="A9" t="s">
        <v>28</v>
      </c>
      <c r="B9" t="s">
        <v>24</v>
      </c>
      <c r="C9" t="s">
        <v>230</v>
      </c>
      <c r="D9" t="s">
        <v>236</v>
      </c>
      <c r="F9">
        <v>17</v>
      </c>
    </row>
    <row r="10" spans="1:6">
      <c r="A10" t="s">
        <v>28</v>
      </c>
      <c r="B10" t="s">
        <v>25</v>
      </c>
      <c r="C10" t="s">
        <v>230</v>
      </c>
      <c r="D10" t="s">
        <v>237</v>
      </c>
      <c r="E10">
        <v>43</v>
      </c>
      <c r="F10">
        <v>17</v>
      </c>
    </row>
    <row r="11" spans="1:6">
      <c r="A11" t="s">
        <v>29</v>
      </c>
      <c r="B11" t="s">
        <v>148</v>
      </c>
      <c r="C11" t="s">
        <v>230</v>
      </c>
      <c r="D11" t="s">
        <v>231</v>
      </c>
      <c r="F11">
        <v>17</v>
      </c>
    </row>
    <row r="12" spans="1:6">
      <c r="A12" t="s">
        <v>30</v>
      </c>
      <c r="B12" t="s">
        <v>148</v>
      </c>
      <c r="C12" t="s">
        <v>230</v>
      </c>
      <c r="D12" t="s">
        <v>231</v>
      </c>
      <c r="F12">
        <v>17</v>
      </c>
    </row>
    <row r="13" spans="1:6">
      <c r="A13" t="s">
        <v>30</v>
      </c>
      <c r="B13" t="s">
        <v>25</v>
      </c>
      <c r="C13" t="s">
        <v>230</v>
      </c>
      <c r="D13" t="s">
        <v>238</v>
      </c>
      <c r="E13">
        <v>26</v>
      </c>
      <c r="F13">
        <v>17</v>
      </c>
    </row>
    <row r="14" spans="1:6">
      <c r="A14" t="s">
        <v>30</v>
      </c>
      <c r="B14" t="s">
        <v>24</v>
      </c>
      <c r="C14" t="s">
        <v>230</v>
      </c>
      <c r="D14" t="s">
        <v>239</v>
      </c>
      <c r="F14">
        <v>17</v>
      </c>
    </row>
    <row r="15" spans="1:6">
      <c r="A15" t="s">
        <v>31</v>
      </c>
      <c r="B15" t="s">
        <v>148</v>
      </c>
      <c r="C15" t="s">
        <v>230</v>
      </c>
      <c r="D15" t="s">
        <v>231</v>
      </c>
      <c r="F15">
        <v>17</v>
      </c>
    </row>
    <row r="16" spans="1:6">
      <c r="A16" t="s">
        <v>31</v>
      </c>
      <c r="B16" t="s">
        <v>25</v>
      </c>
      <c r="C16" t="s">
        <v>230</v>
      </c>
      <c r="D16" t="s">
        <v>240</v>
      </c>
      <c r="E16">
        <v>34</v>
      </c>
      <c r="F16">
        <v>17</v>
      </c>
    </row>
    <row r="17" spans="1:6">
      <c r="A17" t="s">
        <v>32</v>
      </c>
      <c r="B17" t="s">
        <v>148</v>
      </c>
      <c r="C17" t="s">
        <v>230</v>
      </c>
      <c r="D17" t="s">
        <v>231</v>
      </c>
      <c r="F17">
        <v>17</v>
      </c>
    </row>
    <row r="18" spans="1:6">
      <c r="A18" t="s">
        <v>32</v>
      </c>
      <c r="B18" t="s">
        <v>25</v>
      </c>
      <c r="C18" t="s">
        <v>230</v>
      </c>
      <c r="D18" t="s">
        <v>241</v>
      </c>
      <c r="E18">
        <v>43</v>
      </c>
      <c r="F18">
        <v>17</v>
      </c>
    </row>
    <row r="19" spans="1:6">
      <c r="A19" t="s">
        <v>33</v>
      </c>
      <c r="B19" t="s">
        <v>148</v>
      </c>
      <c r="C19" t="s">
        <v>230</v>
      </c>
      <c r="D19" t="s">
        <v>231</v>
      </c>
      <c r="F19">
        <v>17</v>
      </c>
    </row>
    <row r="20" spans="1:6">
      <c r="A20" t="s">
        <v>34</v>
      </c>
      <c r="B20" t="s">
        <v>148</v>
      </c>
      <c r="C20" t="s">
        <v>230</v>
      </c>
      <c r="D20" t="s">
        <v>231</v>
      </c>
      <c r="F20">
        <v>17</v>
      </c>
    </row>
    <row r="21" spans="1:6">
      <c r="A21" t="s">
        <v>34</v>
      </c>
      <c r="B21" t="s">
        <v>25</v>
      </c>
      <c r="C21" t="s">
        <v>230</v>
      </c>
      <c r="D21" t="s">
        <v>242</v>
      </c>
      <c r="E21">
        <v>-3</v>
      </c>
      <c r="F21">
        <v>17</v>
      </c>
    </row>
    <row r="22" spans="1:6">
      <c r="A22" t="s">
        <v>35</v>
      </c>
      <c r="B22" t="s">
        <v>148</v>
      </c>
      <c r="C22" t="s">
        <v>230</v>
      </c>
      <c r="D22" t="s">
        <v>231</v>
      </c>
      <c r="F22">
        <v>17</v>
      </c>
    </row>
    <row r="23" spans="1:6">
      <c r="A23" t="s">
        <v>35</v>
      </c>
      <c r="B23" t="s">
        <v>25</v>
      </c>
      <c r="C23" t="s">
        <v>230</v>
      </c>
      <c r="D23" t="s">
        <v>243</v>
      </c>
      <c r="E23">
        <v>49</v>
      </c>
      <c r="F23">
        <v>17</v>
      </c>
    </row>
    <row r="24" spans="1:6">
      <c r="A24" t="s">
        <v>36</v>
      </c>
      <c r="B24" t="s">
        <v>148</v>
      </c>
      <c r="C24" t="s">
        <v>230</v>
      </c>
      <c r="D24" t="s">
        <v>231</v>
      </c>
      <c r="F24">
        <v>17</v>
      </c>
    </row>
    <row r="25" spans="1:6">
      <c r="A25" t="s">
        <v>37</v>
      </c>
      <c r="B25" t="s">
        <v>148</v>
      </c>
      <c r="C25" t="s">
        <v>230</v>
      </c>
      <c r="D25" t="s">
        <v>231</v>
      </c>
      <c r="F25">
        <v>17</v>
      </c>
    </row>
    <row r="26" spans="1:6">
      <c r="A26" t="s">
        <v>38</v>
      </c>
      <c r="B26" t="s">
        <v>148</v>
      </c>
      <c r="C26" t="s">
        <v>230</v>
      </c>
      <c r="D26" t="s">
        <v>231</v>
      </c>
      <c r="F26">
        <v>17</v>
      </c>
    </row>
    <row r="27" spans="1:6">
      <c r="A27" t="s">
        <v>38</v>
      </c>
      <c r="B27" t="s">
        <v>25</v>
      </c>
      <c r="C27" t="s">
        <v>230</v>
      </c>
      <c r="D27" t="s">
        <v>244</v>
      </c>
      <c r="E27">
        <v>-5</v>
      </c>
      <c r="F27">
        <v>17</v>
      </c>
    </row>
    <row r="28" spans="1:6">
      <c r="A28" t="s">
        <v>39</v>
      </c>
      <c r="B28" t="s">
        <v>148</v>
      </c>
      <c r="C28" t="s">
        <v>230</v>
      </c>
      <c r="D28" t="s">
        <v>231</v>
      </c>
      <c r="F28">
        <v>17</v>
      </c>
    </row>
    <row r="29" spans="1:6">
      <c r="A29" t="s">
        <v>39</v>
      </c>
      <c r="B29" t="s">
        <v>25</v>
      </c>
      <c r="C29" t="s">
        <v>230</v>
      </c>
      <c r="D29" t="s">
        <v>245</v>
      </c>
      <c r="E29">
        <v>13</v>
      </c>
      <c r="F29">
        <v>17</v>
      </c>
    </row>
    <row r="30" spans="1:6">
      <c r="A30" t="s">
        <v>39</v>
      </c>
      <c r="B30" t="s">
        <v>24</v>
      </c>
      <c r="C30" t="s">
        <v>230</v>
      </c>
      <c r="D30" t="s">
        <v>246</v>
      </c>
      <c r="F30">
        <v>17</v>
      </c>
    </row>
    <row r="31" spans="1:6">
      <c r="A31" t="s">
        <v>39</v>
      </c>
      <c r="B31" t="s">
        <v>25</v>
      </c>
      <c r="C31" t="s">
        <v>230</v>
      </c>
      <c r="D31" t="s">
        <v>247</v>
      </c>
      <c r="E31">
        <v>0</v>
      </c>
      <c r="F31">
        <v>17</v>
      </c>
    </row>
    <row r="32" spans="1:6">
      <c r="A32" t="s">
        <v>39</v>
      </c>
      <c r="B32" t="s">
        <v>24</v>
      </c>
      <c r="C32" t="s">
        <v>230</v>
      </c>
      <c r="D32" t="s">
        <v>248</v>
      </c>
      <c r="F32">
        <v>17</v>
      </c>
    </row>
    <row r="33" spans="1:6">
      <c r="A33" t="s">
        <v>40</v>
      </c>
      <c r="B33" t="s">
        <v>148</v>
      </c>
      <c r="C33" t="s">
        <v>230</v>
      </c>
      <c r="D33" t="s">
        <v>231</v>
      </c>
      <c r="F33">
        <v>17</v>
      </c>
    </row>
    <row r="34" spans="1:6">
      <c r="A34" t="s">
        <v>56</v>
      </c>
      <c r="B34" t="s">
        <v>148</v>
      </c>
      <c r="C34" t="s">
        <v>230</v>
      </c>
      <c r="D34" t="s">
        <v>231</v>
      </c>
      <c r="F34">
        <v>17</v>
      </c>
    </row>
    <row r="35" spans="1:6">
      <c r="A35" t="s">
        <v>56</v>
      </c>
      <c r="B35" t="s">
        <v>25</v>
      </c>
      <c r="C35" t="s">
        <v>230</v>
      </c>
      <c r="D35" t="s">
        <v>249</v>
      </c>
      <c r="E35">
        <v>24</v>
      </c>
      <c r="F35">
        <v>17</v>
      </c>
    </row>
    <row r="36" spans="1:6">
      <c r="A36" t="s">
        <v>56</v>
      </c>
      <c r="B36" t="s">
        <v>24</v>
      </c>
      <c r="C36" t="s">
        <v>230</v>
      </c>
      <c r="D36" t="s">
        <v>250</v>
      </c>
      <c r="F36">
        <v>17</v>
      </c>
    </row>
    <row r="37" spans="1:6">
      <c r="A37" t="s">
        <v>57</v>
      </c>
      <c r="B37" t="s">
        <v>148</v>
      </c>
      <c r="C37" t="s">
        <v>230</v>
      </c>
      <c r="D37" t="s">
        <v>231</v>
      </c>
      <c r="F37">
        <v>17</v>
      </c>
    </row>
    <row r="38" spans="1:6">
      <c r="A38" t="s">
        <v>58</v>
      </c>
      <c r="B38" t="s">
        <v>148</v>
      </c>
      <c r="C38" t="s">
        <v>230</v>
      </c>
      <c r="D38" t="s">
        <v>231</v>
      </c>
      <c r="F38">
        <v>17</v>
      </c>
    </row>
    <row r="39" spans="1:6">
      <c r="A39" t="s">
        <v>58</v>
      </c>
      <c r="B39" t="s">
        <v>25</v>
      </c>
      <c r="C39" t="s">
        <v>230</v>
      </c>
      <c r="D39" t="s">
        <v>251</v>
      </c>
      <c r="E39">
        <v>5</v>
      </c>
      <c r="F39">
        <v>17</v>
      </c>
    </row>
    <row r="40" spans="1:6">
      <c r="A40" t="s">
        <v>58</v>
      </c>
      <c r="B40" t="s">
        <v>24</v>
      </c>
      <c r="C40" t="s">
        <v>230</v>
      </c>
      <c r="D40" t="s">
        <v>252</v>
      </c>
      <c r="F40">
        <v>17</v>
      </c>
    </row>
    <row r="41" spans="1:6">
      <c r="A41" t="s">
        <v>58</v>
      </c>
      <c r="B41" t="s">
        <v>25</v>
      </c>
      <c r="C41" t="s">
        <v>230</v>
      </c>
      <c r="D41" t="s">
        <v>253</v>
      </c>
      <c r="E41">
        <v>42</v>
      </c>
      <c r="F41">
        <v>17</v>
      </c>
    </row>
    <row r="42" spans="1:6">
      <c r="A42" t="s">
        <v>59</v>
      </c>
      <c r="B42" t="s">
        <v>148</v>
      </c>
      <c r="C42" t="s">
        <v>230</v>
      </c>
      <c r="D42" t="s">
        <v>231</v>
      </c>
      <c r="F42">
        <v>17</v>
      </c>
    </row>
    <row r="43" spans="1:6">
      <c r="A43" t="s">
        <v>60</v>
      </c>
      <c r="B43" t="s">
        <v>148</v>
      </c>
      <c r="C43" t="s">
        <v>230</v>
      </c>
      <c r="D43" t="s">
        <v>231</v>
      </c>
      <c r="F43">
        <v>17</v>
      </c>
    </row>
    <row r="44" spans="1:6">
      <c r="A44" t="s">
        <v>60</v>
      </c>
      <c r="B44" t="s">
        <v>25</v>
      </c>
      <c r="C44" t="s">
        <v>230</v>
      </c>
      <c r="D44" t="s">
        <v>254</v>
      </c>
      <c r="E44">
        <v>12</v>
      </c>
      <c r="F44">
        <v>17</v>
      </c>
    </row>
    <row r="45" spans="1:6">
      <c r="A45" t="s">
        <v>60</v>
      </c>
      <c r="B45" t="s">
        <v>24</v>
      </c>
      <c r="C45" t="s">
        <v>230</v>
      </c>
      <c r="D45" t="s">
        <v>255</v>
      </c>
      <c r="F45">
        <v>17</v>
      </c>
    </row>
    <row r="46" spans="1:6">
      <c r="A46" t="s">
        <v>61</v>
      </c>
      <c r="B46" t="s">
        <v>148</v>
      </c>
      <c r="C46" t="s">
        <v>230</v>
      </c>
      <c r="D46" t="s">
        <v>231</v>
      </c>
      <c r="F46">
        <v>17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53"/>
  <sheetViews>
    <sheetView workbookViewId="0">
      <selection activeCell="F34" sqref="F34"/>
    </sheetView>
  </sheetViews>
  <sheetFormatPr defaultRowHeight="14.25"/>
  <cols>
    <col min="1" max="1" width="9.625" bestFit="1" customWidth="1"/>
    <col min="2" max="2" width="11" bestFit="1" customWidth="1"/>
    <col min="3" max="3" width="9.25" bestFit="1" customWidth="1"/>
    <col min="4" max="4" width="9.75" bestFit="1" customWidth="1"/>
    <col min="5" max="5" width="19.125" bestFit="1" customWidth="1"/>
    <col min="6" max="6" width="14.375" customWidth="1"/>
    <col min="7" max="7" width="16.375" style="76" bestFit="1" customWidth="1"/>
  </cols>
  <sheetData>
    <row r="1" spans="1:7" ht="16.5" thickTop="1" thickBot="1">
      <c r="A1" s="63" t="s">
        <v>16</v>
      </c>
      <c r="B1" s="63" t="s">
        <v>156</v>
      </c>
      <c r="C1" s="63" t="s">
        <v>2</v>
      </c>
      <c r="D1" s="63" t="s">
        <v>4</v>
      </c>
      <c r="E1" s="63" t="s">
        <v>150</v>
      </c>
      <c r="F1" s="63" t="s">
        <v>151</v>
      </c>
      <c r="G1" s="67" t="str">
        <f>CONCATENATE(" Presenty (Min)"," (",INT(AutomatedAttendace!D20),")")</f>
        <v xml:space="preserve"> Presenty (Min) (75)</v>
      </c>
    </row>
    <row r="2" spans="1:7" ht="15" thickTop="1">
      <c r="A2" s="68" t="s">
        <v>168</v>
      </c>
      <c r="B2">
        <v>1</v>
      </c>
      <c r="C2" s="68" t="s">
        <v>189</v>
      </c>
      <c r="D2" s="68" t="s">
        <v>188</v>
      </c>
      <c r="E2" t="s">
        <v>27</v>
      </c>
      <c r="F2" t="s">
        <v>256</v>
      </c>
      <c r="G2" s="76">
        <v>14</v>
      </c>
    </row>
    <row r="3" spans="1:7">
      <c r="A3" s="68" t="s">
        <v>169</v>
      </c>
      <c r="B3">
        <v>2</v>
      </c>
      <c r="C3" s="68" t="s">
        <v>208</v>
      </c>
      <c r="D3" s="68" t="s">
        <v>209</v>
      </c>
      <c r="E3" t="s">
        <v>28</v>
      </c>
      <c r="F3" t="s">
        <v>256</v>
      </c>
      <c r="G3" s="76">
        <v>37</v>
      </c>
    </row>
    <row r="4" spans="1:7">
      <c r="A4" s="68" t="s">
        <v>170</v>
      </c>
      <c r="B4">
        <v>3</v>
      </c>
      <c r="C4" s="68" t="s">
        <v>190</v>
      </c>
      <c r="D4" s="68" t="s">
        <v>210</v>
      </c>
      <c r="E4" t="s">
        <v>29</v>
      </c>
      <c r="F4" t="s">
        <v>257</v>
      </c>
      <c r="G4" s="76">
        <v>75</v>
      </c>
    </row>
    <row r="5" spans="1:7">
      <c r="A5" s="68" t="s">
        <v>171</v>
      </c>
      <c r="B5">
        <v>4</v>
      </c>
      <c r="C5" s="68" t="s">
        <v>191</v>
      </c>
      <c r="D5" s="68" t="s">
        <v>211</v>
      </c>
      <c r="E5" t="s">
        <v>30</v>
      </c>
      <c r="F5" t="s">
        <v>257</v>
      </c>
      <c r="G5" s="76">
        <v>73</v>
      </c>
    </row>
    <row r="6" spans="1:7">
      <c r="A6" s="68" t="s">
        <v>172</v>
      </c>
      <c r="B6">
        <v>5</v>
      </c>
      <c r="C6" s="68" t="s">
        <v>192</v>
      </c>
      <c r="D6" s="68" t="s">
        <v>212</v>
      </c>
      <c r="E6" t="s">
        <v>31</v>
      </c>
      <c r="F6" t="s">
        <v>256</v>
      </c>
      <c r="G6" s="76">
        <v>34</v>
      </c>
    </row>
    <row r="7" spans="1:7">
      <c r="A7" s="68" t="s">
        <v>173</v>
      </c>
      <c r="B7">
        <v>6</v>
      </c>
      <c r="C7" s="68" t="s">
        <v>193</v>
      </c>
      <c r="D7" s="68" t="s">
        <v>213</v>
      </c>
      <c r="E7" t="s">
        <v>32</v>
      </c>
      <c r="F7" t="s">
        <v>256</v>
      </c>
      <c r="G7" s="76">
        <v>43</v>
      </c>
    </row>
    <row r="8" spans="1:7">
      <c r="A8" s="68" t="s">
        <v>174</v>
      </c>
      <c r="B8">
        <v>7</v>
      </c>
      <c r="C8" s="68" t="s">
        <v>194</v>
      </c>
      <c r="D8" s="68" t="s">
        <v>214</v>
      </c>
      <c r="E8" t="s">
        <v>33</v>
      </c>
      <c r="F8" t="s">
        <v>257</v>
      </c>
      <c r="G8" s="76">
        <v>75</v>
      </c>
    </row>
    <row r="9" spans="1:7">
      <c r="A9" s="68" t="s">
        <v>175</v>
      </c>
      <c r="B9">
        <v>8</v>
      </c>
      <c r="C9" s="68" t="s">
        <v>195</v>
      </c>
      <c r="D9" s="68" t="s">
        <v>215</v>
      </c>
      <c r="E9" t="s">
        <v>34</v>
      </c>
      <c r="F9" t="s">
        <v>256</v>
      </c>
      <c r="G9" s="76">
        <v>-3</v>
      </c>
    </row>
    <row r="10" spans="1:7">
      <c r="A10" s="68" t="s">
        <v>176</v>
      </c>
      <c r="B10">
        <v>9</v>
      </c>
      <c r="C10" s="68" t="s">
        <v>196</v>
      </c>
      <c r="D10" s="68" t="s">
        <v>216</v>
      </c>
      <c r="E10" t="s">
        <v>35</v>
      </c>
      <c r="F10" t="s">
        <v>256</v>
      </c>
      <c r="G10" s="76">
        <v>49</v>
      </c>
    </row>
    <row r="11" spans="1:7">
      <c r="A11" s="68" t="s">
        <v>177</v>
      </c>
      <c r="B11">
        <v>10</v>
      </c>
      <c r="C11" s="68" t="s">
        <v>197</v>
      </c>
      <c r="D11" s="68" t="s">
        <v>217</v>
      </c>
      <c r="E11" t="s">
        <v>36</v>
      </c>
      <c r="F11" t="s">
        <v>257</v>
      </c>
      <c r="G11" s="76">
        <v>75</v>
      </c>
    </row>
    <row r="12" spans="1:7">
      <c r="A12" s="68" t="s">
        <v>178</v>
      </c>
      <c r="B12">
        <v>11</v>
      </c>
      <c r="C12" s="68" t="s">
        <v>198</v>
      </c>
      <c r="D12" s="68" t="s">
        <v>218</v>
      </c>
      <c r="E12" t="s">
        <v>37</v>
      </c>
      <c r="F12" t="s">
        <v>257</v>
      </c>
      <c r="G12" s="76">
        <v>75</v>
      </c>
    </row>
    <row r="13" spans="1:7">
      <c r="A13" s="68" t="s">
        <v>179</v>
      </c>
      <c r="B13">
        <v>12</v>
      </c>
      <c r="C13" s="68" t="s">
        <v>199</v>
      </c>
      <c r="D13" s="68" t="s">
        <v>219</v>
      </c>
      <c r="E13" t="s">
        <v>38</v>
      </c>
      <c r="F13" t="s">
        <v>256</v>
      </c>
      <c r="G13" s="76">
        <v>-5</v>
      </c>
    </row>
    <row r="14" spans="1:7">
      <c r="A14" s="68" t="s">
        <v>180</v>
      </c>
      <c r="B14">
        <v>13</v>
      </c>
      <c r="C14" s="68" t="s">
        <v>200</v>
      </c>
      <c r="D14" s="68" t="s">
        <v>220</v>
      </c>
      <c r="E14" t="s">
        <v>39</v>
      </c>
      <c r="F14" t="s">
        <v>257</v>
      </c>
      <c r="G14" s="76">
        <v>75</v>
      </c>
    </row>
    <row r="15" spans="1:7">
      <c r="A15" s="68" t="s">
        <v>181</v>
      </c>
      <c r="B15">
        <v>14</v>
      </c>
      <c r="C15" s="68" t="s">
        <v>201</v>
      </c>
      <c r="D15" s="68" t="s">
        <v>221</v>
      </c>
      <c r="E15" t="s">
        <v>40</v>
      </c>
      <c r="F15" t="s">
        <v>257</v>
      </c>
      <c r="G15" s="76">
        <v>75</v>
      </c>
    </row>
    <row r="16" spans="1:7">
      <c r="A16" s="68" t="s">
        <v>182</v>
      </c>
      <c r="B16">
        <v>15</v>
      </c>
      <c r="C16" s="68" t="s">
        <v>202</v>
      </c>
      <c r="D16" s="68" t="s">
        <v>222</v>
      </c>
      <c r="E16" t="s">
        <v>56</v>
      </c>
      <c r="F16" t="s">
        <v>257</v>
      </c>
      <c r="G16" s="76">
        <v>73</v>
      </c>
    </row>
    <row r="17" spans="1:7">
      <c r="A17" s="68" t="s">
        <v>183</v>
      </c>
      <c r="B17">
        <v>16</v>
      </c>
      <c r="C17" s="68" t="s">
        <v>203</v>
      </c>
      <c r="D17" s="68" t="s">
        <v>223</v>
      </c>
      <c r="E17" t="s">
        <v>57</v>
      </c>
      <c r="F17" t="s">
        <v>257</v>
      </c>
      <c r="G17" s="76">
        <v>75</v>
      </c>
    </row>
    <row r="18" spans="1:7">
      <c r="A18" s="68" t="s">
        <v>184</v>
      </c>
      <c r="B18">
        <v>17</v>
      </c>
      <c r="C18" s="68" t="s">
        <v>204</v>
      </c>
      <c r="D18" s="68" t="s">
        <v>224</v>
      </c>
      <c r="E18" t="s">
        <v>58</v>
      </c>
      <c r="F18" t="s">
        <v>256</v>
      </c>
      <c r="G18" s="76">
        <v>47</v>
      </c>
    </row>
    <row r="19" spans="1:7">
      <c r="A19" s="68" t="s">
        <v>185</v>
      </c>
      <c r="B19">
        <v>18</v>
      </c>
      <c r="C19" s="68" t="s">
        <v>205</v>
      </c>
      <c r="D19" s="68" t="s">
        <v>225</v>
      </c>
      <c r="E19" t="s">
        <v>59</v>
      </c>
      <c r="F19" t="s">
        <v>257</v>
      </c>
      <c r="G19" s="76">
        <v>75</v>
      </c>
    </row>
    <row r="20" spans="1:7">
      <c r="A20" s="68" t="s">
        <v>186</v>
      </c>
      <c r="B20">
        <v>19</v>
      </c>
      <c r="C20" s="68" t="s">
        <v>206</v>
      </c>
      <c r="D20" s="68" t="s">
        <v>226</v>
      </c>
      <c r="E20" t="s">
        <v>60</v>
      </c>
      <c r="F20" t="s">
        <v>257</v>
      </c>
      <c r="G20" s="76">
        <v>75</v>
      </c>
    </row>
    <row r="21" spans="1:7">
      <c r="A21" s="68" t="s">
        <v>187</v>
      </c>
      <c r="B21">
        <v>20</v>
      </c>
      <c r="C21" s="68" t="s">
        <v>207</v>
      </c>
      <c r="D21" s="68" t="s">
        <v>227</v>
      </c>
      <c r="E21" t="s">
        <v>61</v>
      </c>
      <c r="F21" t="s">
        <v>257</v>
      </c>
      <c r="G21" s="76">
        <v>75</v>
      </c>
    </row>
    <row r="22" spans="1:7">
      <c r="G22"/>
    </row>
    <row r="23" spans="1:7">
      <c r="G23"/>
    </row>
    <row r="24" spans="1:7">
      <c r="G24"/>
    </row>
    <row r="25" spans="1:7">
      <c r="G25"/>
    </row>
    <row r="26" spans="1:7">
      <c r="G26"/>
    </row>
    <row r="27" spans="1:7">
      <c r="G27"/>
    </row>
    <row r="28" spans="1:7">
      <c r="G28"/>
    </row>
    <row r="29" spans="1:7">
      <c r="G29"/>
    </row>
    <row r="30" spans="1:7">
      <c r="G30"/>
    </row>
    <row r="31" spans="1:7">
      <c r="G31"/>
    </row>
    <row r="32" spans="1:7">
      <c r="G32"/>
    </row>
    <row r="33" spans="1:7">
      <c r="G33"/>
    </row>
    <row r="34" spans="1:7">
      <c r="G34"/>
    </row>
    <row r="35" spans="1:7">
      <c r="G35"/>
    </row>
    <row r="36" spans="1:7">
      <c r="G36"/>
    </row>
    <row r="37" spans="1:7">
      <c r="G37"/>
    </row>
    <row r="38" spans="1:7">
      <c r="G38"/>
    </row>
    <row r="39" spans="1:7">
      <c r="G39"/>
    </row>
    <row r="40" spans="1:7">
      <c r="G40"/>
    </row>
    <row r="41" spans="1:7">
      <c r="G41"/>
    </row>
    <row r="42" spans="1:7">
      <c r="G42"/>
    </row>
    <row r="43" spans="1:7">
      <c r="G43"/>
    </row>
    <row r="44" spans="1:7">
      <c r="G44"/>
    </row>
    <row r="45" spans="1:7">
      <c r="G45"/>
    </row>
    <row r="46" spans="1:7">
      <c r="A46" s="68"/>
      <c r="C46" s="68"/>
      <c r="D46" s="68"/>
    </row>
    <row r="47" spans="1:7">
      <c r="A47" s="68"/>
      <c r="C47" s="68"/>
      <c r="D47" s="68"/>
    </row>
    <row r="48" spans="1:7">
      <c r="A48" s="68"/>
      <c r="C48" s="68"/>
      <c r="D48" s="68"/>
    </row>
    <row r="49" spans="1:4">
      <c r="A49" s="68"/>
      <c r="C49" s="68"/>
      <c r="D49" s="68"/>
    </row>
    <row r="50" spans="1:4">
      <c r="A50" s="68"/>
      <c r="C50" s="68"/>
      <c r="D50" s="68"/>
    </row>
    <row r="51" spans="1:4">
      <c r="A51" s="68"/>
      <c r="C51" s="68"/>
      <c r="D51" s="68"/>
    </row>
    <row r="52" spans="1:4">
      <c r="A52" s="68"/>
      <c r="C52" s="68"/>
      <c r="D52" s="68"/>
    </row>
    <row r="53" spans="1:4">
      <c r="A53" s="68"/>
      <c r="C53" s="68"/>
      <c r="D53" s="68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01"/>
  <sheetViews>
    <sheetView workbookViewId="0">
      <selection activeCell="J23" sqref="J23"/>
    </sheetView>
  </sheetViews>
  <sheetFormatPr defaultRowHeight="14.25"/>
  <cols>
    <col min="1" max="1" width="15.125" bestFit="1" customWidth="1"/>
    <col min="2" max="2" width="10.25" bestFit="1" customWidth="1"/>
    <col min="3" max="3" width="8.875" bestFit="1" customWidth="1"/>
    <col min="4" max="4" width="8.5" bestFit="1" customWidth="1"/>
    <col min="5" max="5" width="11.125" bestFit="1" customWidth="1"/>
    <col min="6" max="6" width="7.5" bestFit="1" customWidth="1"/>
  </cols>
  <sheetData>
    <row r="1" spans="1:6" ht="16.5" thickTop="1" thickBot="1">
      <c r="A1" s="28" t="s">
        <v>16</v>
      </c>
      <c r="B1" s="28" t="s">
        <v>17</v>
      </c>
      <c r="C1" s="28" t="s">
        <v>18</v>
      </c>
      <c r="D1" s="28" t="s">
        <v>19</v>
      </c>
      <c r="E1" s="28" t="s">
        <v>20</v>
      </c>
      <c r="F1" s="29">
        <f>DAY(AutomatedAttendace!D13)</f>
        <v>17</v>
      </c>
    </row>
    <row r="2" spans="1:6" ht="15.75">
      <c r="A2" s="34" t="s">
        <v>42</v>
      </c>
      <c r="B2" s="35">
        <v>1</v>
      </c>
      <c r="C2" s="36" t="s">
        <v>41</v>
      </c>
      <c r="D2" s="37">
        <v>1</v>
      </c>
      <c r="E2" s="38" t="s">
        <v>27</v>
      </c>
      <c r="F2" s="35" t="str">
        <f ca="1">IFERROR(IF(SUMIFS(#REF!,#REF!,AutomatedAttendace!E2,#REF!,AutomatedAttendace!#REF!)/$F$8&gt;$D$7,"P","A"),"A")</f>
        <v>A</v>
      </c>
    </row>
    <row r="3" spans="1:6" ht="15.75">
      <c r="A3" s="39" t="s">
        <v>43</v>
      </c>
      <c r="B3" s="30">
        <v>2</v>
      </c>
      <c r="C3" s="31" t="s">
        <v>41</v>
      </c>
      <c r="D3" s="32">
        <v>2</v>
      </c>
      <c r="E3" s="33" t="s">
        <v>28</v>
      </c>
      <c r="F3" s="30" t="str">
        <f ca="1">IFERROR(IF(SUMIFS(#REF!,#REF!,AutomatedAttendace!E3,#REF!,AutomatedAttendace!#REF!)/$F$8&gt;$D$7,"P","A"),"A")</f>
        <v>A</v>
      </c>
    </row>
    <row r="4" spans="1:6" ht="15.75">
      <c r="A4" s="39" t="s">
        <v>44</v>
      </c>
      <c r="B4" s="30">
        <v>3</v>
      </c>
      <c r="C4" s="31" t="s">
        <v>41</v>
      </c>
      <c r="D4" s="32">
        <v>3</v>
      </c>
      <c r="E4" s="33" t="s">
        <v>29</v>
      </c>
      <c r="F4" s="30" t="str">
        <f ca="1">IFERROR(IF(SUMIFS(#REF!,#REF!,AutomatedAttendace!F11,#REF!,AutomatedAttendace!#REF!)/$F$8&gt;$D$7,"P","A"),"A")</f>
        <v>A</v>
      </c>
    </row>
    <row r="5" spans="1:6" ht="15.75">
      <c r="A5" s="39" t="s">
        <v>45</v>
      </c>
      <c r="B5" s="30">
        <v>4</v>
      </c>
      <c r="C5" s="31" t="s">
        <v>41</v>
      </c>
      <c r="D5" s="32">
        <v>4</v>
      </c>
      <c r="E5" s="33" t="s">
        <v>30</v>
      </c>
      <c r="F5" s="30" t="str">
        <f ca="1">IFERROR(IF(SUMIFS(#REF!,#REF!,AutomatedAttendace!F12,#REF!,AutomatedAttendace!#REF!)/$F$8&gt;$D$7,"P","A"),"A")</f>
        <v>A</v>
      </c>
    </row>
    <row r="6" spans="1:6" ht="15.75">
      <c r="A6" s="39" t="s">
        <v>46</v>
      </c>
      <c r="B6" s="30">
        <v>5</v>
      </c>
      <c r="C6" s="31" t="s">
        <v>41</v>
      </c>
      <c r="D6" s="32">
        <v>5</v>
      </c>
      <c r="E6" s="33" t="s">
        <v>31</v>
      </c>
      <c r="F6" s="30" t="str">
        <f ca="1">IFERROR(IF(SUMIFS(#REF!,#REF!,AutomatedAttendace!F13,#REF!,AutomatedAttendace!#REF!)/$F$8&gt;$D$7,"P","A"),"A")</f>
        <v>A</v>
      </c>
    </row>
    <row r="7" spans="1:6" ht="15.75">
      <c r="A7" s="39" t="s">
        <v>47</v>
      </c>
      <c r="B7" s="30">
        <v>6</v>
      </c>
      <c r="C7" s="31" t="s">
        <v>41</v>
      </c>
      <c r="D7" s="32">
        <v>6</v>
      </c>
      <c r="E7" s="33" t="s">
        <v>32</v>
      </c>
      <c r="F7" s="30" t="str">
        <f ca="1">IFERROR(IF(SUMIFS(#REF!,#REF!,AutomatedAttendace!F14,#REF!,AutomatedAttendace!#REF!)/$F$8&gt;$D$7,"P","A"),"A")</f>
        <v>A</v>
      </c>
    </row>
    <row r="8" spans="1:6" ht="15.75">
      <c r="A8" s="39" t="s">
        <v>48</v>
      </c>
      <c r="B8" s="30">
        <v>7</v>
      </c>
      <c r="C8" s="31" t="s">
        <v>41</v>
      </c>
      <c r="D8" s="32">
        <v>7</v>
      </c>
      <c r="E8" s="33" t="s">
        <v>33</v>
      </c>
      <c r="F8" s="30" t="str">
        <f ca="1">IFERROR(IF(SUMIFS(#REF!,#REF!,AutomatedAttendace!F15,#REF!,AutomatedAttendace!#REF!)/$F$8&gt;$D$7,"P","A"),"A")</f>
        <v>A</v>
      </c>
    </row>
    <row r="9" spans="1:6" ht="15.75">
      <c r="A9" s="39" t="s">
        <v>49</v>
      </c>
      <c r="B9" s="30">
        <v>8</v>
      </c>
      <c r="C9" s="31" t="s">
        <v>41</v>
      </c>
      <c r="D9" s="32">
        <v>8</v>
      </c>
      <c r="E9" s="33" t="s">
        <v>34</v>
      </c>
      <c r="F9" s="30" t="str">
        <f ca="1">IFERROR(IF(SUMIFS(#REF!,#REF!,AutomatedAttendace!#REF!,#REF!,AutomatedAttendace!#REF!)/$F$8&gt;$D$7,"P","A"),"A")</f>
        <v>A</v>
      </c>
    </row>
    <row r="10" spans="1:6" ht="15.75">
      <c r="A10" s="39" t="s">
        <v>50</v>
      </c>
      <c r="B10" s="30">
        <v>9</v>
      </c>
      <c r="C10" s="31" t="s">
        <v>41</v>
      </c>
      <c r="D10" s="32">
        <v>9</v>
      </c>
      <c r="E10" s="33" t="s">
        <v>35</v>
      </c>
      <c r="F10" s="30" t="str">
        <f ca="1">IFERROR(IF(SUMIFS(#REF!,#REF!,AutomatedAttendace!#REF!,#REF!,AutomatedAttendace!#REF!)/$F$8&gt;$D$7,"P","A"),"A")</f>
        <v>A</v>
      </c>
    </row>
    <row r="11" spans="1:6" ht="15.75">
      <c r="A11" s="39" t="s">
        <v>51</v>
      </c>
      <c r="B11" s="30">
        <v>10</v>
      </c>
      <c r="C11" s="31" t="s">
        <v>41</v>
      </c>
      <c r="D11" s="32">
        <v>10</v>
      </c>
      <c r="E11" s="33" t="s">
        <v>36</v>
      </c>
      <c r="F11" s="30" t="str">
        <f ca="1">IFERROR(IF(SUMIFS(#REF!,#REF!,AutomatedAttendace!#REF!,#REF!,AutomatedAttendace!#REF!)/$F$8&gt;$D$7,"P","A"),"A")</f>
        <v>A</v>
      </c>
    </row>
    <row r="12" spans="1:6" ht="15.75">
      <c r="A12" s="39" t="s">
        <v>52</v>
      </c>
      <c r="B12" s="30">
        <v>11</v>
      </c>
      <c r="C12" s="31" t="s">
        <v>41</v>
      </c>
      <c r="D12" s="32">
        <v>11</v>
      </c>
      <c r="E12" s="33" t="s">
        <v>37</v>
      </c>
      <c r="F12" s="30" t="str">
        <f ca="1">IFERROR(IF(SUMIFS(#REF!,#REF!,AutomatedAttendace!#REF!,#REF!,AutomatedAttendace!#REF!)/$F$8&gt;$D$7,"P","A"),"A")</f>
        <v>A</v>
      </c>
    </row>
    <row r="13" spans="1:6" ht="15.75">
      <c r="A13" s="39" t="s">
        <v>53</v>
      </c>
      <c r="B13" s="30">
        <v>12</v>
      </c>
      <c r="C13" s="31" t="s">
        <v>41</v>
      </c>
      <c r="D13" s="32">
        <v>12</v>
      </c>
      <c r="E13" s="33" t="s">
        <v>38</v>
      </c>
      <c r="F13" s="30" t="str">
        <f ca="1">IFERROR(IF(SUMIFS(#REF!,#REF!,AutomatedAttendace!#REF!,#REF!,AutomatedAttendace!#REF!)/$F$8&gt;$D$7,"P","A"),"A")</f>
        <v>A</v>
      </c>
    </row>
    <row r="14" spans="1:6" ht="15.75">
      <c r="A14" s="39" t="s">
        <v>54</v>
      </c>
      <c r="B14" s="30">
        <v>13</v>
      </c>
      <c r="C14" s="31" t="s">
        <v>41</v>
      </c>
      <c r="D14" s="32">
        <v>13</v>
      </c>
      <c r="E14" s="33" t="s">
        <v>39</v>
      </c>
      <c r="F14" s="30" t="str">
        <f ca="1">IFERROR(IF(SUMIFS(#REF!,#REF!,AutomatedAttendace!#REF!,#REF!,AutomatedAttendace!#REF!)/$F$8&gt;$D$7,"P","A"),"A")</f>
        <v>A</v>
      </c>
    </row>
    <row r="15" spans="1:6" ht="15.75">
      <c r="A15" s="39" t="s">
        <v>55</v>
      </c>
      <c r="B15" s="30">
        <v>14</v>
      </c>
      <c r="C15" s="31" t="s">
        <v>41</v>
      </c>
      <c r="D15" s="32">
        <v>14</v>
      </c>
      <c r="E15" s="33" t="s">
        <v>40</v>
      </c>
      <c r="F15" s="30" t="str">
        <f ca="1">IFERROR(IF(SUMIFS(#REF!,#REF!,AutomatedAttendace!#REF!,#REF!,AutomatedAttendace!#REF!)/$F$8&gt;$D$7,"P","A"),"A")</f>
        <v>A</v>
      </c>
    </row>
    <row r="16" spans="1:6" ht="15.75">
      <c r="A16" s="39" t="s">
        <v>42</v>
      </c>
      <c r="B16" s="30">
        <v>15</v>
      </c>
      <c r="C16" s="31" t="s">
        <v>41</v>
      </c>
      <c r="D16" s="32">
        <v>15</v>
      </c>
      <c r="E16" s="33" t="s">
        <v>56</v>
      </c>
      <c r="F16" s="30" t="str">
        <f ca="1">IFERROR(IF(SUMIFS(#REF!,#REF!,AutomatedAttendace!#REF!,#REF!,AutomatedAttendace!#REF!)/$F$8&gt;$D$7,"P","A"),"A")</f>
        <v>A</v>
      </c>
    </row>
    <row r="17" spans="1:6" ht="15.75">
      <c r="A17" s="39" t="s">
        <v>43</v>
      </c>
      <c r="B17" s="30">
        <v>16</v>
      </c>
      <c r="C17" s="31" t="s">
        <v>41</v>
      </c>
      <c r="D17" s="32">
        <v>16</v>
      </c>
      <c r="E17" s="33" t="s">
        <v>57</v>
      </c>
      <c r="F17" s="30" t="str">
        <f ca="1">IFERROR(IF(SUMIFS(#REF!,#REF!,AutomatedAttendace!#REF!,#REF!,AutomatedAttendace!#REF!)/$F$8&gt;$D$7,"P","A"),"A")</f>
        <v>A</v>
      </c>
    </row>
    <row r="18" spans="1:6" ht="15.75">
      <c r="A18" s="39" t="s">
        <v>44</v>
      </c>
      <c r="B18" s="30">
        <v>17</v>
      </c>
      <c r="C18" s="31" t="s">
        <v>41</v>
      </c>
      <c r="D18" s="32">
        <v>17</v>
      </c>
      <c r="E18" s="33" t="s">
        <v>58</v>
      </c>
      <c r="F18" s="30" t="str">
        <f ca="1">IFERROR(IF(SUMIFS(#REF!,#REF!,AutomatedAttendace!#REF!,#REF!,AutomatedAttendace!#REF!)/$F$8&gt;$D$7,"P","A"),"A")</f>
        <v>A</v>
      </c>
    </row>
    <row r="19" spans="1:6" ht="15.75">
      <c r="A19" s="39" t="s">
        <v>45</v>
      </c>
      <c r="B19" s="30">
        <v>18</v>
      </c>
      <c r="C19" s="31" t="s">
        <v>41</v>
      </c>
      <c r="D19" s="32">
        <v>18</v>
      </c>
      <c r="E19" s="33" t="s">
        <v>59</v>
      </c>
      <c r="F19" s="30" t="str">
        <f ca="1">IFERROR(IF(SUMIFS(#REF!,#REF!,AutomatedAttendace!#REF!,#REF!,AutomatedAttendace!#REF!)/$F$8&gt;$D$7,"P","A"),"A")</f>
        <v>A</v>
      </c>
    </row>
    <row r="20" spans="1:6" ht="15.75">
      <c r="A20" s="39" t="s">
        <v>46</v>
      </c>
      <c r="B20" s="30">
        <v>19</v>
      </c>
      <c r="C20" s="31" t="s">
        <v>41</v>
      </c>
      <c r="D20" s="32">
        <v>19</v>
      </c>
      <c r="E20" s="33" t="s">
        <v>60</v>
      </c>
      <c r="F20" s="30" t="str">
        <f ca="1">IFERROR(IF(SUMIFS(#REF!,#REF!,AutomatedAttendace!#REF!,#REF!,AutomatedAttendace!#REF!)/$F$8&gt;$D$7,"P","A"),"A")</f>
        <v>A</v>
      </c>
    </row>
    <row r="21" spans="1:6" ht="15.75">
      <c r="A21" s="39" t="s">
        <v>47</v>
      </c>
      <c r="B21" s="30">
        <v>20</v>
      </c>
      <c r="C21" s="31" t="s">
        <v>41</v>
      </c>
      <c r="D21" s="32">
        <v>20</v>
      </c>
      <c r="E21" s="33" t="s">
        <v>61</v>
      </c>
      <c r="F21" s="30" t="str">
        <f ca="1">IFERROR(IF(SUMIFS(#REF!,#REF!,AutomatedAttendace!#REF!,#REF!,AutomatedAttendace!#REF!)/$F$8&gt;$D$7,"P","A"),"A")</f>
        <v>A</v>
      </c>
    </row>
    <row r="22" spans="1:6" ht="15.75">
      <c r="A22" s="39" t="s">
        <v>48</v>
      </c>
      <c r="B22" s="30">
        <v>21</v>
      </c>
      <c r="C22" s="31" t="s">
        <v>41</v>
      </c>
      <c r="D22" s="32">
        <v>21</v>
      </c>
      <c r="E22" s="33" t="s">
        <v>62</v>
      </c>
      <c r="F22" s="30" t="str">
        <f ca="1">IFERROR(IF(SUMIFS(#REF!,#REF!,AutomatedAttendace!#REF!,#REF!,AutomatedAttendace!#REF!)/$F$8&gt;$D$7,"P","A"),"A")</f>
        <v>A</v>
      </c>
    </row>
    <row r="23" spans="1:6" ht="15.75">
      <c r="A23" s="39" t="s">
        <v>49</v>
      </c>
      <c r="B23" s="30">
        <v>22</v>
      </c>
      <c r="C23" s="31" t="s">
        <v>41</v>
      </c>
      <c r="D23" s="32">
        <v>22</v>
      </c>
      <c r="E23" s="33" t="s">
        <v>63</v>
      </c>
      <c r="F23" s="30" t="str">
        <f ca="1">IFERROR(IF(SUMIFS(#REF!,#REF!,AutomatedAttendace!#REF!,#REF!,AutomatedAttendace!#REF!)/$F$8&gt;$D$7,"P","A"),"A")</f>
        <v>A</v>
      </c>
    </row>
    <row r="24" spans="1:6" ht="15.75">
      <c r="A24" s="39" t="s">
        <v>50</v>
      </c>
      <c r="B24" s="30">
        <v>23</v>
      </c>
      <c r="C24" s="31" t="s">
        <v>41</v>
      </c>
      <c r="D24" s="32">
        <v>23</v>
      </c>
      <c r="E24" s="33" t="s">
        <v>64</v>
      </c>
      <c r="F24" s="30" t="str">
        <f ca="1">IFERROR(IF(SUMIFS(#REF!,#REF!,AutomatedAttendace!#REF!,#REF!,AutomatedAttendace!#REF!)/$F$8&gt;$D$7,"P","A"),"A")</f>
        <v>A</v>
      </c>
    </row>
    <row r="25" spans="1:6" ht="15.75">
      <c r="A25" s="39" t="s">
        <v>51</v>
      </c>
      <c r="B25" s="30">
        <v>24</v>
      </c>
      <c r="C25" s="31" t="s">
        <v>41</v>
      </c>
      <c r="D25" s="32">
        <v>24</v>
      </c>
      <c r="E25" s="33" t="s">
        <v>65</v>
      </c>
      <c r="F25" s="30" t="str">
        <f ca="1">IFERROR(IF(SUMIFS(#REF!,#REF!,AutomatedAttendace!#REF!,#REF!,AutomatedAttendace!#REF!)/$F$8&gt;$D$7,"P","A"),"A")</f>
        <v>A</v>
      </c>
    </row>
    <row r="26" spans="1:6" ht="15.75">
      <c r="A26" s="39" t="s">
        <v>52</v>
      </c>
      <c r="B26" s="30">
        <v>25</v>
      </c>
      <c r="C26" s="31" t="s">
        <v>41</v>
      </c>
      <c r="D26" s="32">
        <v>25</v>
      </c>
      <c r="E26" s="33" t="s">
        <v>66</v>
      </c>
      <c r="F26" s="30" t="str">
        <f ca="1">IFERROR(IF(SUMIFS(#REF!,#REF!,AutomatedAttendace!#REF!,#REF!,AutomatedAttendace!#REF!)/$F$8&gt;$D$7,"P","A"),"A")</f>
        <v>A</v>
      </c>
    </row>
    <row r="27" spans="1:6" ht="15.75">
      <c r="A27" s="39" t="s">
        <v>53</v>
      </c>
      <c r="B27" s="30">
        <v>26</v>
      </c>
      <c r="C27" s="31" t="s">
        <v>41</v>
      </c>
      <c r="D27" s="32">
        <v>26</v>
      </c>
      <c r="E27" s="33" t="s">
        <v>67</v>
      </c>
      <c r="F27" s="30" t="str">
        <f ca="1">IFERROR(IF(SUMIFS(#REF!,#REF!,AutomatedAttendace!#REF!,#REF!,AutomatedAttendace!#REF!)/$F$8&gt;$D$7,"P","A"),"A")</f>
        <v>A</v>
      </c>
    </row>
    <row r="28" spans="1:6" ht="15.75">
      <c r="A28" s="39" t="s">
        <v>54</v>
      </c>
      <c r="B28" s="30">
        <v>27</v>
      </c>
      <c r="C28" s="31" t="s">
        <v>41</v>
      </c>
      <c r="D28" s="32">
        <v>27</v>
      </c>
      <c r="E28" s="33" t="s">
        <v>37</v>
      </c>
      <c r="F28" s="30" t="str">
        <f ca="1">IFERROR(IF(SUMIFS(#REF!,#REF!,AutomatedAttendace!#REF!,#REF!,AutomatedAttendace!#REF!)/$F$8&gt;$D$7,"P","A"),"A")</f>
        <v>A</v>
      </c>
    </row>
    <row r="29" spans="1:6" ht="15.75">
      <c r="A29" s="39" t="s">
        <v>55</v>
      </c>
      <c r="B29" s="30">
        <v>28</v>
      </c>
      <c r="C29" s="31" t="s">
        <v>41</v>
      </c>
      <c r="D29" s="32">
        <v>28</v>
      </c>
      <c r="E29" s="33" t="s">
        <v>68</v>
      </c>
      <c r="F29" s="30" t="str">
        <f ca="1">IFERROR(IF(SUMIFS(#REF!,#REF!,AutomatedAttendace!#REF!,#REF!,AutomatedAttendace!#REF!)/$F$8&gt;$D$7,"P","A"),"A")</f>
        <v>A</v>
      </c>
    </row>
    <row r="30" spans="1:6" ht="15.75">
      <c r="A30" s="39" t="s">
        <v>42</v>
      </c>
      <c r="B30" s="30">
        <v>29</v>
      </c>
      <c r="C30" s="31" t="s">
        <v>41</v>
      </c>
      <c r="D30" s="32">
        <v>29</v>
      </c>
      <c r="E30" s="33" t="s">
        <v>69</v>
      </c>
      <c r="F30" s="30" t="str">
        <f ca="1">IFERROR(IF(SUMIFS(#REF!,#REF!,AutomatedAttendace!#REF!,#REF!,AutomatedAttendace!#REF!)/$F$8&gt;$D$7,"P","A"),"A")</f>
        <v>A</v>
      </c>
    </row>
    <row r="31" spans="1:6" ht="15.75">
      <c r="A31" s="39" t="s">
        <v>43</v>
      </c>
      <c r="B31" s="30">
        <v>30</v>
      </c>
      <c r="C31" s="31" t="s">
        <v>41</v>
      </c>
      <c r="D31" s="32">
        <v>30</v>
      </c>
      <c r="E31" s="33" t="s">
        <v>70</v>
      </c>
      <c r="F31" s="30" t="str">
        <f ca="1">IFERROR(IF(SUMIFS(#REF!,#REF!,AutomatedAttendace!#REF!,#REF!,AutomatedAttendace!#REF!)/$F$8&gt;$D$7,"P","A"),"A")</f>
        <v>A</v>
      </c>
    </row>
    <row r="32" spans="1:6" ht="15.75">
      <c r="A32" s="39" t="s">
        <v>44</v>
      </c>
      <c r="B32" s="30">
        <v>31</v>
      </c>
      <c r="C32" s="31" t="s">
        <v>41</v>
      </c>
      <c r="D32" s="32">
        <v>31</v>
      </c>
      <c r="E32" s="33" t="s">
        <v>71</v>
      </c>
      <c r="F32" s="30" t="str">
        <f ca="1">IFERROR(IF(SUMIFS(#REF!,#REF!,AutomatedAttendace!#REF!,#REF!,AutomatedAttendace!#REF!)/$F$8&gt;$D$7,"P","A"),"A")</f>
        <v>A</v>
      </c>
    </row>
    <row r="33" spans="1:6" ht="15.75">
      <c r="A33" s="39" t="s">
        <v>42</v>
      </c>
      <c r="B33" s="30">
        <v>32</v>
      </c>
      <c r="C33" s="31" t="s">
        <v>41</v>
      </c>
      <c r="D33" s="32">
        <v>32</v>
      </c>
      <c r="E33" s="33" t="s">
        <v>72</v>
      </c>
      <c r="F33" s="30" t="str">
        <f ca="1">IFERROR(IF(SUMIFS(#REF!,#REF!,AutomatedAttendace!#REF!,#REF!,AutomatedAttendace!#REF!)/$F$8&gt;$D$7,"P","A"),"A")</f>
        <v>A</v>
      </c>
    </row>
    <row r="34" spans="1:6" ht="15.75">
      <c r="A34" s="39" t="s">
        <v>43</v>
      </c>
      <c r="B34" s="30">
        <v>33</v>
      </c>
      <c r="C34" s="31" t="s">
        <v>41</v>
      </c>
      <c r="D34" s="32">
        <v>33</v>
      </c>
      <c r="E34" s="33" t="s">
        <v>73</v>
      </c>
      <c r="F34" s="30" t="str">
        <f ca="1">IFERROR(IF(SUMIFS(#REF!,#REF!,AutomatedAttendace!#REF!,#REF!,AutomatedAttendace!#REF!)/$F$8&gt;$D$7,"P","A"),"A")</f>
        <v>A</v>
      </c>
    </row>
    <row r="35" spans="1:6" ht="15.75">
      <c r="A35" s="39" t="s">
        <v>44</v>
      </c>
      <c r="B35" s="30">
        <v>34</v>
      </c>
      <c r="C35" s="31" t="s">
        <v>41</v>
      </c>
      <c r="D35" s="32">
        <v>34</v>
      </c>
      <c r="E35" s="33" t="s">
        <v>74</v>
      </c>
      <c r="F35" s="30" t="str">
        <f ca="1">IFERROR(IF(SUMIFS(#REF!,#REF!,AutomatedAttendace!#REF!,#REF!,AutomatedAttendace!#REF!)/$F$8&gt;$D$7,"P","A"),"A")</f>
        <v>A</v>
      </c>
    </row>
    <row r="36" spans="1:6" ht="15.75">
      <c r="A36" s="39" t="s">
        <v>45</v>
      </c>
      <c r="B36" s="30">
        <v>35</v>
      </c>
      <c r="C36" s="31" t="s">
        <v>41</v>
      </c>
      <c r="D36" s="32">
        <v>35</v>
      </c>
      <c r="E36" s="33" t="s">
        <v>75</v>
      </c>
      <c r="F36" s="30" t="str">
        <f ca="1">IFERROR(IF(SUMIFS(#REF!,#REF!,AutomatedAttendace!#REF!,#REF!,AutomatedAttendace!#REF!)/$F$8&gt;$D$7,"P","A"),"A")</f>
        <v>A</v>
      </c>
    </row>
    <row r="37" spans="1:6" ht="15.75">
      <c r="A37" s="39" t="s">
        <v>46</v>
      </c>
      <c r="B37" s="30">
        <v>36</v>
      </c>
      <c r="C37" s="31" t="s">
        <v>41</v>
      </c>
      <c r="D37" s="32">
        <v>36</v>
      </c>
      <c r="E37" s="33" t="s">
        <v>76</v>
      </c>
      <c r="F37" s="30" t="str">
        <f ca="1">IFERROR(IF(SUMIFS(#REF!,#REF!,AutomatedAttendace!#REF!,#REF!,AutomatedAttendace!#REF!)/$F$8&gt;$D$7,"P","A"),"A")</f>
        <v>A</v>
      </c>
    </row>
    <row r="38" spans="1:6" ht="15.75">
      <c r="A38" s="39" t="s">
        <v>47</v>
      </c>
      <c r="B38" s="30">
        <v>37</v>
      </c>
      <c r="C38" s="31" t="s">
        <v>41</v>
      </c>
      <c r="D38" s="32">
        <v>37</v>
      </c>
      <c r="E38" s="33" t="s">
        <v>77</v>
      </c>
      <c r="F38" s="30" t="str">
        <f ca="1">IFERROR(IF(SUMIFS(#REF!,#REF!,AutomatedAttendace!#REF!,#REF!,AutomatedAttendace!#REF!)/$F$8&gt;$D$7,"P","A"),"A")</f>
        <v>A</v>
      </c>
    </row>
    <row r="39" spans="1:6" ht="15.75">
      <c r="A39" s="39" t="s">
        <v>48</v>
      </c>
      <c r="B39" s="30">
        <v>38</v>
      </c>
      <c r="C39" s="31" t="s">
        <v>41</v>
      </c>
      <c r="D39" s="32">
        <v>38</v>
      </c>
      <c r="E39" s="33" t="s">
        <v>78</v>
      </c>
      <c r="F39" s="30" t="str">
        <f ca="1">IFERROR(IF(SUMIFS(#REF!,#REF!,AutomatedAttendace!#REF!,#REF!,AutomatedAttendace!#REF!)/$F$8&gt;$D$7,"P","A"),"A")</f>
        <v>A</v>
      </c>
    </row>
    <row r="40" spans="1:6" ht="15.75">
      <c r="A40" s="39" t="s">
        <v>49</v>
      </c>
      <c r="B40" s="30">
        <v>39</v>
      </c>
      <c r="C40" s="31" t="s">
        <v>41</v>
      </c>
      <c r="D40" s="32">
        <v>39</v>
      </c>
      <c r="E40" s="33" t="s">
        <v>79</v>
      </c>
      <c r="F40" s="30" t="str">
        <f ca="1">IFERROR(IF(SUMIFS(#REF!,#REF!,AutomatedAttendace!#REF!,#REF!,AutomatedAttendace!#REF!)/$F$8&gt;$D$7,"P","A"),"A")</f>
        <v>A</v>
      </c>
    </row>
    <row r="41" spans="1:6" ht="15.75">
      <c r="A41" s="39" t="s">
        <v>50</v>
      </c>
      <c r="B41" s="30">
        <v>40</v>
      </c>
      <c r="C41" s="31" t="s">
        <v>41</v>
      </c>
      <c r="D41" s="32">
        <v>40</v>
      </c>
      <c r="E41" s="33" t="s">
        <v>80</v>
      </c>
      <c r="F41" s="30" t="str">
        <f ca="1">IFERROR(IF(SUMIFS(#REF!,#REF!,AutomatedAttendace!#REF!,#REF!,AutomatedAttendace!#REF!)/$F$8&gt;$D$7,"P","A"),"A")</f>
        <v>A</v>
      </c>
    </row>
    <row r="42" spans="1:6" ht="15.75">
      <c r="A42" s="39" t="s">
        <v>51</v>
      </c>
      <c r="B42" s="30">
        <v>41</v>
      </c>
      <c r="C42" s="31" t="s">
        <v>41</v>
      </c>
      <c r="D42" s="32">
        <v>41</v>
      </c>
      <c r="E42" s="33" t="s">
        <v>81</v>
      </c>
      <c r="F42" s="30" t="str">
        <f ca="1">IFERROR(IF(SUMIFS(#REF!,#REF!,AutomatedAttendace!#REF!,#REF!,AutomatedAttendace!#REF!)/$F$8&gt;$D$7,"P","A"),"A")</f>
        <v>A</v>
      </c>
    </row>
    <row r="43" spans="1:6" ht="15.75">
      <c r="A43" s="39" t="s">
        <v>52</v>
      </c>
      <c r="B43" s="30">
        <v>42</v>
      </c>
      <c r="C43" s="31" t="s">
        <v>41</v>
      </c>
      <c r="D43" s="32">
        <v>42</v>
      </c>
      <c r="E43" s="33" t="s">
        <v>82</v>
      </c>
      <c r="F43" s="30" t="str">
        <f ca="1">IFERROR(IF(SUMIFS(#REF!,#REF!,AutomatedAttendace!#REF!,#REF!,AutomatedAttendace!#REF!)/$F$8&gt;$D$7,"P","A"),"A")</f>
        <v>A</v>
      </c>
    </row>
    <row r="44" spans="1:6" ht="15.75">
      <c r="A44" s="39" t="s">
        <v>53</v>
      </c>
      <c r="B44" s="30">
        <v>43</v>
      </c>
      <c r="C44" s="31" t="s">
        <v>41</v>
      </c>
      <c r="D44" s="32">
        <v>43</v>
      </c>
      <c r="E44" s="33" t="s">
        <v>83</v>
      </c>
      <c r="F44" s="30" t="str">
        <f ca="1">IFERROR(IF(SUMIFS(#REF!,#REF!,AutomatedAttendace!#REF!,#REF!,AutomatedAttendace!#REF!)/$F$8&gt;$D$7,"P","A"),"A")</f>
        <v>A</v>
      </c>
    </row>
    <row r="45" spans="1:6" ht="15.75">
      <c r="A45" s="39" t="s">
        <v>54</v>
      </c>
      <c r="B45" s="30">
        <v>44</v>
      </c>
      <c r="C45" s="31" t="s">
        <v>41</v>
      </c>
      <c r="D45" s="32">
        <v>44</v>
      </c>
      <c r="E45" s="33" t="s">
        <v>84</v>
      </c>
      <c r="F45" s="30" t="str">
        <f ca="1">IFERROR(IF(SUMIFS(#REF!,#REF!,AutomatedAttendace!#REF!,#REF!,AutomatedAttendace!#REF!)/$F$8&gt;$D$7,"P","A"),"A")</f>
        <v>A</v>
      </c>
    </row>
    <row r="46" spans="1:6" ht="15.75">
      <c r="A46" s="39" t="s">
        <v>55</v>
      </c>
      <c r="B46" s="30">
        <v>45</v>
      </c>
      <c r="C46" s="31" t="s">
        <v>41</v>
      </c>
      <c r="D46" s="32">
        <v>45</v>
      </c>
      <c r="E46" s="33" t="s">
        <v>85</v>
      </c>
      <c r="F46" s="30" t="str">
        <f ca="1">IFERROR(IF(SUMIFS(#REF!,#REF!,AutomatedAttendace!#REF!,#REF!,AutomatedAttendace!#REF!)/$F$8&gt;$D$7,"P","A"),"A")</f>
        <v>A</v>
      </c>
    </row>
    <row r="47" spans="1:6" ht="15.75">
      <c r="A47" s="39" t="s">
        <v>42</v>
      </c>
      <c r="B47" s="30">
        <v>46</v>
      </c>
      <c r="C47" s="31" t="s">
        <v>41</v>
      </c>
      <c r="D47" s="32">
        <v>46</v>
      </c>
      <c r="E47" s="33" t="s">
        <v>86</v>
      </c>
      <c r="F47" s="30" t="str">
        <f ca="1">IFERROR(IF(SUMIFS(#REF!,#REF!,AutomatedAttendace!#REF!,#REF!,AutomatedAttendace!#REF!)/$F$8&gt;$D$7,"P","A"),"A")</f>
        <v>A</v>
      </c>
    </row>
    <row r="48" spans="1:6" ht="15.75">
      <c r="A48" s="39" t="s">
        <v>43</v>
      </c>
      <c r="B48" s="30">
        <v>47</v>
      </c>
      <c r="C48" s="31" t="s">
        <v>41</v>
      </c>
      <c r="D48" s="32">
        <v>47</v>
      </c>
      <c r="E48" s="33" t="s">
        <v>87</v>
      </c>
      <c r="F48" s="30" t="str">
        <f ca="1">IFERROR(IF(SUMIFS(#REF!,#REF!,AutomatedAttendace!#REF!,#REF!,AutomatedAttendace!#REF!)/$F$8&gt;$D$7,"P","A"),"A")</f>
        <v>A</v>
      </c>
    </row>
    <row r="49" spans="1:6" ht="15.75">
      <c r="A49" s="39" t="s">
        <v>44</v>
      </c>
      <c r="B49" s="30">
        <v>48</v>
      </c>
      <c r="C49" s="31" t="s">
        <v>41</v>
      </c>
      <c r="D49" s="32">
        <v>48</v>
      </c>
      <c r="E49" s="33" t="s">
        <v>88</v>
      </c>
      <c r="F49" s="30" t="str">
        <f ca="1">IFERROR(IF(SUMIFS(#REF!,#REF!,AutomatedAttendace!#REF!,#REF!,AutomatedAttendace!#REF!)/$F$8&gt;$D$7,"P","A"),"A")</f>
        <v>A</v>
      </c>
    </row>
    <row r="50" spans="1:6" ht="15.75">
      <c r="A50" s="39" t="s">
        <v>45</v>
      </c>
      <c r="B50" s="30">
        <v>49</v>
      </c>
      <c r="C50" s="31" t="s">
        <v>41</v>
      </c>
      <c r="D50" s="32">
        <v>49</v>
      </c>
      <c r="E50" s="33" t="s">
        <v>89</v>
      </c>
      <c r="F50" s="30" t="str">
        <f ca="1">IFERROR(IF(SUMIFS(#REF!,#REF!,AutomatedAttendace!#REF!,#REF!,AutomatedAttendace!#REF!)/$F$8&gt;$D$7,"P","A"),"A")</f>
        <v>A</v>
      </c>
    </row>
    <row r="51" spans="1:6" ht="15.75">
      <c r="A51" s="39" t="s">
        <v>46</v>
      </c>
      <c r="B51" s="30">
        <v>50</v>
      </c>
      <c r="C51" s="31" t="s">
        <v>41</v>
      </c>
      <c r="D51" s="32">
        <v>50</v>
      </c>
      <c r="E51" s="33" t="s">
        <v>90</v>
      </c>
      <c r="F51" s="30" t="str">
        <f ca="1">IFERROR(IF(SUMIFS(#REF!,#REF!,AutomatedAttendace!#REF!,#REF!,AutomatedAttendace!#REF!)/$F$8&gt;$D$7,"P","A"),"A")</f>
        <v>A</v>
      </c>
    </row>
    <row r="52" spans="1:6" ht="15.75">
      <c r="A52" s="39" t="s">
        <v>47</v>
      </c>
      <c r="B52" s="30">
        <v>51</v>
      </c>
      <c r="C52" s="31" t="s">
        <v>41</v>
      </c>
      <c r="D52" s="32">
        <v>51</v>
      </c>
      <c r="E52" s="33" t="s">
        <v>91</v>
      </c>
      <c r="F52" s="30" t="str">
        <f ca="1">IFERROR(IF(SUMIFS(#REF!,#REF!,AutomatedAttendace!#REF!,#REF!,AutomatedAttendace!#REF!)/$F$8&gt;$D$7,"P","A"),"A")</f>
        <v>A</v>
      </c>
    </row>
    <row r="53" spans="1:6" ht="15.75">
      <c r="A53" s="39" t="s">
        <v>48</v>
      </c>
      <c r="B53" s="30">
        <v>52</v>
      </c>
      <c r="C53" s="31" t="s">
        <v>41</v>
      </c>
      <c r="D53" s="32">
        <v>52</v>
      </c>
      <c r="E53" s="33" t="s">
        <v>92</v>
      </c>
      <c r="F53" s="30" t="str">
        <f ca="1">IFERROR(IF(SUMIFS(#REF!,#REF!,AutomatedAttendace!#REF!,#REF!,AutomatedAttendace!#REF!)/$F$8&gt;$D$7,"P","A"),"A")</f>
        <v>A</v>
      </c>
    </row>
    <row r="54" spans="1:6" ht="15.75">
      <c r="A54" s="39" t="s">
        <v>49</v>
      </c>
      <c r="B54" s="30">
        <v>53</v>
      </c>
      <c r="C54" s="31" t="s">
        <v>41</v>
      </c>
      <c r="D54" s="32">
        <v>53</v>
      </c>
      <c r="E54" s="33" t="s">
        <v>93</v>
      </c>
      <c r="F54" s="30" t="str">
        <f ca="1">IFERROR(IF(SUMIFS(#REF!,#REF!,AutomatedAttendace!#REF!,#REF!,AutomatedAttendace!#REF!)/$F$8&gt;$D$7,"P","A"),"A")</f>
        <v>A</v>
      </c>
    </row>
    <row r="55" spans="1:6" ht="15.75">
      <c r="A55" s="39" t="s">
        <v>50</v>
      </c>
      <c r="B55" s="30">
        <v>54</v>
      </c>
      <c r="C55" s="31" t="s">
        <v>41</v>
      </c>
      <c r="D55" s="32">
        <v>54</v>
      </c>
      <c r="E55" s="33" t="s">
        <v>94</v>
      </c>
      <c r="F55" s="30" t="str">
        <f ca="1">IFERROR(IF(SUMIFS(#REF!,#REF!,AutomatedAttendace!#REF!,#REF!,AutomatedAttendace!#REF!)/$F$8&gt;$D$7,"P","A"),"A")</f>
        <v>A</v>
      </c>
    </row>
    <row r="56" spans="1:6" ht="15.75">
      <c r="A56" s="39" t="s">
        <v>51</v>
      </c>
      <c r="B56" s="30">
        <v>55</v>
      </c>
      <c r="C56" s="31" t="s">
        <v>41</v>
      </c>
      <c r="D56" s="32">
        <v>55</v>
      </c>
      <c r="E56" s="33" t="s">
        <v>95</v>
      </c>
      <c r="F56" s="30" t="str">
        <f ca="1">IFERROR(IF(SUMIFS(#REF!,#REF!,AutomatedAttendace!#REF!,#REF!,AutomatedAttendace!#REF!)/$F$8&gt;$D$7,"P","A"),"A")</f>
        <v>A</v>
      </c>
    </row>
    <row r="57" spans="1:6" ht="15.75">
      <c r="A57" s="39" t="s">
        <v>52</v>
      </c>
      <c r="B57" s="30">
        <v>56</v>
      </c>
      <c r="C57" s="31" t="s">
        <v>41</v>
      </c>
      <c r="D57" s="32">
        <v>56</v>
      </c>
      <c r="E57" s="33" t="s">
        <v>96</v>
      </c>
      <c r="F57" s="30" t="str">
        <f ca="1">IFERROR(IF(SUMIFS(#REF!,#REF!,AutomatedAttendace!#REF!,#REF!,AutomatedAttendace!#REF!)/$F$8&gt;$D$7,"P","A"),"A")</f>
        <v>A</v>
      </c>
    </row>
    <row r="58" spans="1:6" ht="15.75">
      <c r="A58" s="39" t="s">
        <v>53</v>
      </c>
      <c r="B58" s="30">
        <v>57</v>
      </c>
      <c r="C58" s="31" t="s">
        <v>41</v>
      </c>
      <c r="D58" s="32">
        <v>57</v>
      </c>
      <c r="E58" s="33" t="s">
        <v>97</v>
      </c>
      <c r="F58" s="30" t="str">
        <f ca="1">IFERROR(IF(SUMIFS(#REF!,#REF!,AutomatedAttendace!#REF!,#REF!,AutomatedAttendace!#REF!)/$F$8&gt;$D$7,"P","A"),"A")</f>
        <v>A</v>
      </c>
    </row>
    <row r="59" spans="1:6" ht="15.75">
      <c r="A59" s="39" t="s">
        <v>54</v>
      </c>
      <c r="B59" s="30">
        <v>58</v>
      </c>
      <c r="C59" s="31" t="s">
        <v>41</v>
      </c>
      <c r="D59" s="32">
        <v>58</v>
      </c>
      <c r="E59" s="33" t="s">
        <v>98</v>
      </c>
      <c r="F59" s="30" t="str">
        <f ca="1">IFERROR(IF(SUMIFS(#REF!,#REF!,AutomatedAttendace!#REF!,#REF!,AutomatedAttendace!#REF!)/$F$8&gt;$D$7,"P","A"),"A")</f>
        <v>A</v>
      </c>
    </row>
    <row r="60" spans="1:6" ht="15.75">
      <c r="A60" s="39" t="s">
        <v>55</v>
      </c>
      <c r="B60" s="30">
        <v>59</v>
      </c>
      <c r="C60" s="31" t="s">
        <v>41</v>
      </c>
      <c r="D60" s="32">
        <v>59</v>
      </c>
      <c r="E60" s="33" t="s">
        <v>99</v>
      </c>
      <c r="F60" s="30" t="str">
        <f ca="1">IFERROR(IF(SUMIFS(#REF!,#REF!,AutomatedAttendace!#REF!,#REF!,AutomatedAttendace!#REF!)/$F$8&gt;$D$7,"P","A"),"A")</f>
        <v>A</v>
      </c>
    </row>
    <row r="61" spans="1:6" ht="15.75">
      <c r="A61" s="39" t="s">
        <v>42</v>
      </c>
      <c r="B61" s="30">
        <v>60</v>
      </c>
      <c r="C61" s="31" t="s">
        <v>41</v>
      </c>
      <c r="D61" s="32">
        <v>60</v>
      </c>
      <c r="E61" s="33" t="s">
        <v>100</v>
      </c>
      <c r="F61" s="30" t="str">
        <f ca="1">IFERROR(IF(SUMIFS(#REF!,#REF!,AutomatedAttendace!#REF!,#REF!,AutomatedAttendace!#REF!)/$F$8&gt;$D$7,"P","A"),"A")</f>
        <v>A</v>
      </c>
    </row>
    <row r="62" spans="1:6" ht="15.75">
      <c r="A62" s="39" t="s">
        <v>43</v>
      </c>
      <c r="B62" s="30">
        <v>61</v>
      </c>
      <c r="C62" s="31" t="s">
        <v>41</v>
      </c>
      <c r="D62" s="32">
        <v>61</v>
      </c>
      <c r="E62" s="33" t="s">
        <v>101</v>
      </c>
      <c r="F62" s="30" t="str">
        <f ca="1">IFERROR(IF(SUMIFS(#REF!,#REF!,AutomatedAttendace!#REF!,#REF!,AutomatedAttendace!#REF!)/$F$8&gt;$D$7,"P","A"),"A")</f>
        <v>A</v>
      </c>
    </row>
    <row r="63" spans="1:6" ht="15.75">
      <c r="A63" s="39" t="s">
        <v>44</v>
      </c>
      <c r="B63" s="30">
        <v>62</v>
      </c>
      <c r="C63" s="31" t="s">
        <v>41</v>
      </c>
      <c r="D63" s="32">
        <v>62</v>
      </c>
      <c r="E63" s="33" t="s">
        <v>102</v>
      </c>
      <c r="F63" s="30" t="str">
        <f ca="1">IFERROR(IF(SUMIFS(#REF!,#REF!,AutomatedAttendace!#REF!,#REF!,AutomatedAttendace!#REF!)/$F$8&gt;$D$7,"P","A"),"A")</f>
        <v>A</v>
      </c>
    </row>
    <row r="64" spans="1:6" ht="15.75">
      <c r="A64" s="39" t="s">
        <v>42</v>
      </c>
      <c r="B64" s="30">
        <v>63</v>
      </c>
      <c r="C64" s="31" t="s">
        <v>41</v>
      </c>
      <c r="D64" s="32">
        <v>63</v>
      </c>
      <c r="E64" s="33" t="s">
        <v>103</v>
      </c>
      <c r="F64" s="30" t="str">
        <f ca="1">IFERROR(IF(SUMIFS(#REF!,#REF!,AutomatedAttendace!#REF!,#REF!,AutomatedAttendace!#REF!)/$F$8&gt;$D$7,"P","A"),"A")</f>
        <v>A</v>
      </c>
    </row>
    <row r="65" spans="1:6" ht="15.75">
      <c r="A65" s="39" t="s">
        <v>43</v>
      </c>
      <c r="B65" s="30">
        <v>64</v>
      </c>
      <c r="C65" s="31" t="s">
        <v>41</v>
      </c>
      <c r="D65" s="32">
        <v>64</v>
      </c>
      <c r="E65" s="33" t="s">
        <v>104</v>
      </c>
      <c r="F65" s="30" t="str">
        <f ca="1">IFERROR(IF(SUMIFS(#REF!,#REF!,AutomatedAttendace!#REF!,#REF!,AutomatedAttendace!#REF!)/$F$8&gt;$D$7,"P","A"),"A")</f>
        <v>A</v>
      </c>
    </row>
    <row r="66" spans="1:6" ht="15.75">
      <c r="A66" s="39" t="s">
        <v>44</v>
      </c>
      <c r="B66" s="30">
        <v>65</v>
      </c>
      <c r="C66" s="31" t="s">
        <v>41</v>
      </c>
      <c r="D66" s="32">
        <v>65</v>
      </c>
      <c r="E66" s="33" t="s">
        <v>105</v>
      </c>
      <c r="F66" s="30" t="str">
        <f ca="1">IFERROR(IF(SUMIFS(#REF!,#REF!,AutomatedAttendace!#REF!,#REF!,AutomatedAttendace!#REF!)/$F$8&gt;$D$7,"P","A"),"A")</f>
        <v>A</v>
      </c>
    </row>
    <row r="67" spans="1:6" ht="15.75">
      <c r="A67" s="39" t="s">
        <v>45</v>
      </c>
      <c r="B67" s="30">
        <v>66</v>
      </c>
      <c r="C67" s="31" t="s">
        <v>41</v>
      </c>
      <c r="D67" s="32">
        <v>66</v>
      </c>
      <c r="E67" s="33" t="s">
        <v>106</v>
      </c>
      <c r="F67" s="30" t="str">
        <f ca="1">IFERROR(IF(SUMIFS(#REF!,#REF!,AutomatedAttendace!#REF!,#REF!,AutomatedAttendace!#REF!)/$F$8&gt;$D$7,"P","A"),"A")</f>
        <v>A</v>
      </c>
    </row>
    <row r="68" spans="1:6" ht="15.75">
      <c r="A68" s="39" t="s">
        <v>46</v>
      </c>
      <c r="B68" s="30">
        <v>67</v>
      </c>
      <c r="C68" s="31" t="s">
        <v>41</v>
      </c>
      <c r="D68" s="32">
        <v>67</v>
      </c>
      <c r="E68" s="33" t="s">
        <v>107</v>
      </c>
      <c r="F68" s="30" t="str">
        <f ca="1">IFERROR(IF(SUMIFS(#REF!,#REF!,AutomatedAttendace!#REF!,#REF!,AutomatedAttendace!#REF!)/$F$8&gt;$D$7,"P","A"),"A")</f>
        <v>A</v>
      </c>
    </row>
    <row r="69" spans="1:6" ht="15.75">
      <c r="A69" s="39" t="s">
        <v>47</v>
      </c>
      <c r="B69" s="30">
        <v>68</v>
      </c>
      <c r="C69" s="31" t="s">
        <v>41</v>
      </c>
      <c r="D69" s="32">
        <v>68</v>
      </c>
      <c r="E69" s="33" t="s">
        <v>108</v>
      </c>
      <c r="F69" s="30" t="str">
        <f ca="1">IFERROR(IF(SUMIFS(#REF!,#REF!,AutomatedAttendace!#REF!,#REF!,AutomatedAttendace!#REF!)/$F$8&gt;$D$7,"P","A"),"A")</f>
        <v>A</v>
      </c>
    </row>
    <row r="70" spans="1:6" ht="15.75">
      <c r="A70" s="39" t="s">
        <v>48</v>
      </c>
      <c r="B70" s="30">
        <v>69</v>
      </c>
      <c r="C70" s="31" t="s">
        <v>41</v>
      </c>
      <c r="D70" s="32">
        <v>69</v>
      </c>
      <c r="E70" s="33" t="s">
        <v>109</v>
      </c>
      <c r="F70" s="30" t="str">
        <f ca="1">IFERROR(IF(SUMIFS(#REF!,#REF!,AutomatedAttendace!#REF!,#REF!,AutomatedAttendace!#REF!)/$F$8&gt;$D$7,"P","A"),"A")</f>
        <v>A</v>
      </c>
    </row>
    <row r="71" spans="1:6" ht="15.75">
      <c r="A71" s="39" t="s">
        <v>49</v>
      </c>
      <c r="B71" s="30">
        <v>70</v>
      </c>
      <c r="C71" s="31" t="s">
        <v>41</v>
      </c>
      <c r="D71" s="32">
        <v>70</v>
      </c>
      <c r="E71" s="33" t="s">
        <v>110</v>
      </c>
      <c r="F71" s="30" t="str">
        <f ca="1">IFERROR(IF(SUMIFS(#REF!,#REF!,AutomatedAttendace!#REF!,#REF!,AutomatedAttendace!#REF!)/$F$8&gt;$D$7,"P","A"),"A")</f>
        <v>A</v>
      </c>
    </row>
    <row r="72" spans="1:6" ht="15.75">
      <c r="A72" s="39" t="s">
        <v>50</v>
      </c>
      <c r="B72" s="30">
        <v>71</v>
      </c>
      <c r="C72" s="31" t="s">
        <v>41</v>
      </c>
      <c r="D72" s="32">
        <v>71</v>
      </c>
      <c r="E72" s="33" t="s">
        <v>111</v>
      </c>
      <c r="F72" s="30" t="str">
        <f ca="1">IFERROR(IF(SUMIFS(#REF!,#REF!,AutomatedAttendace!#REF!,#REF!,AutomatedAttendace!#REF!)/$F$8&gt;$D$7,"P","A"),"A")</f>
        <v>A</v>
      </c>
    </row>
    <row r="73" spans="1:6" ht="15.75">
      <c r="A73" s="39" t="s">
        <v>51</v>
      </c>
      <c r="B73" s="30">
        <v>72</v>
      </c>
      <c r="C73" s="31" t="s">
        <v>41</v>
      </c>
      <c r="D73" s="32">
        <v>72</v>
      </c>
      <c r="E73" s="33" t="s">
        <v>112</v>
      </c>
      <c r="F73" s="30" t="str">
        <f ca="1">IFERROR(IF(SUMIFS(#REF!,#REF!,AutomatedAttendace!#REF!,#REF!,AutomatedAttendace!#REF!)/$F$8&gt;$D$7,"P","A"),"A")</f>
        <v>A</v>
      </c>
    </row>
    <row r="74" spans="1:6" ht="15.75">
      <c r="A74" s="39" t="s">
        <v>52</v>
      </c>
      <c r="B74" s="30">
        <v>73</v>
      </c>
      <c r="C74" s="31" t="s">
        <v>41</v>
      </c>
      <c r="D74" s="32">
        <v>73</v>
      </c>
      <c r="E74" s="33" t="s">
        <v>113</v>
      </c>
      <c r="F74" s="30" t="str">
        <f ca="1">IFERROR(IF(SUMIFS(#REF!,#REF!,AutomatedAttendace!#REF!,#REF!,AutomatedAttendace!#REF!)/$F$8&gt;$D$7,"P","A"),"A")</f>
        <v>A</v>
      </c>
    </row>
    <row r="75" spans="1:6" ht="15.75">
      <c r="A75" s="39" t="s">
        <v>53</v>
      </c>
      <c r="B75" s="30">
        <v>74</v>
      </c>
      <c r="C75" s="31" t="s">
        <v>41</v>
      </c>
      <c r="D75" s="32">
        <v>74</v>
      </c>
      <c r="E75" s="33" t="s">
        <v>114</v>
      </c>
      <c r="F75" s="30" t="str">
        <f ca="1">IFERROR(IF(SUMIFS(#REF!,#REF!,AutomatedAttendace!#REF!,#REF!,AutomatedAttendace!#REF!)/$F$8&gt;$D$7,"P","A"),"A")</f>
        <v>A</v>
      </c>
    </row>
    <row r="76" spans="1:6" ht="15.75">
      <c r="A76" s="39" t="s">
        <v>54</v>
      </c>
      <c r="B76" s="30">
        <v>75</v>
      </c>
      <c r="C76" s="31" t="s">
        <v>41</v>
      </c>
      <c r="D76" s="32">
        <v>75</v>
      </c>
      <c r="E76" s="33" t="s">
        <v>115</v>
      </c>
      <c r="F76" s="30" t="str">
        <f ca="1">IFERROR(IF(SUMIFS(#REF!,#REF!,AutomatedAttendace!#REF!,#REF!,AutomatedAttendace!#REF!)/$F$8&gt;$D$7,"P","A"),"A")</f>
        <v>A</v>
      </c>
    </row>
    <row r="77" spans="1:6" ht="15.75">
      <c r="A77" s="39" t="s">
        <v>55</v>
      </c>
      <c r="B77" s="30">
        <v>76</v>
      </c>
      <c r="C77" s="31" t="s">
        <v>41</v>
      </c>
      <c r="D77" s="32">
        <v>76</v>
      </c>
      <c r="E77" s="33" t="s">
        <v>116</v>
      </c>
      <c r="F77" s="30" t="str">
        <f ca="1">IFERROR(IF(SUMIFS(#REF!,#REF!,AutomatedAttendace!#REF!,#REF!,AutomatedAttendace!#REF!)/$F$8&gt;$D$7,"P","A"),"A")</f>
        <v>A</v>
      </c>
    </row>
    <row r="78" spans="1:6" ht="15.75">
      <c r="A78" s="39" t="s">
        <v>42</v>
      </c>
      <c r="B78" s="30">
        <v>77</v>
      </c>
      <c r="C78" s="31" t="s">
        <v>41</v>
      </c>
      <c r="D78" s="32">
        <v>77</v>
      </c>
      <c r="E78" s="33" t="s">
        <v>117</v>
      </c>
      <c r="F78" s="30" t="str">
        <f ca="1">IFERROR(IF(SUMIFS(#REF!,#REF!,AutomatedAttendace!#REF!,#REF!,AutomatedAttendace!#REF!)/$F$8&gt;$D$7,"P","A"),"A")</f>
        <v>A</v>
      </c>
    </row>
    <row r="79" spans="1:6" ht="15.75">
      <c r="A79" s="39" t="s">
        <v>43</v>
      </c>
      <c r="B79" s="30">
        <v>78</v>
      </c>
      <c r="C79" s="31" t="s">
        <v>41</v>
      </c>
      <c r="D79" s="32">
        <v>78</v>
      </c>
      <c r="E79" s="33" t="s">
        <v>118</v>
      </c>
      <c r="F79" s="30" t="str">
        <f ca="1">IFERROR(IF(SUMIFS(#REF!,#REF!,AutomatedAttendace!#REF!,#REF!,AutomatedAttendace!#REF!)/$F$8&gt;$D$7,"P","A"),"A")</f>
        <v>A</v>
      </c>
    </row>
    <row r="80" spans="1:6" ht="15.75">
      <c r="A80" s="39" t="s">
        <v>44</v>
      </c>
      <c r="B80" s="30">
        <v>79</v>
      </c>
      <c r="C80" s="31" t="s">
        <v>41</v>
      </c>
      <c r="D80" s="32">
        <v>79</v>
      </c>
      <c r="E80" s="33" t="s">
        <v>119</v>
      </c>
      <c r="F80" s="30" t="str">
        <f ca="1">IFERROR(IF(SUMIFS(#REF!,#REF!,AutomatedAttendace!#REF!,#REF!,AutomatedAttendace!#REF!)/$F$8&gt;$D$7,"P","A"),"A")</f>
        <v>A</v>
      </c>
    </row>
    <row r="81" spans="1:6" ht="15.75">
      <c r="A81" s="39" t="s">
        <v>45</v>
      </c>
      <c r="B81" s="30">
        <v>80</v>
      </c>
      <c r="C81" s="31" t="s">
        <v>41</v>
      </c>
      <c r="D81" s="32">
        <v>80</v>
      </c>
      <c r="E81" s="33" t="s">
        <v>120</v>
      </c>
      <c r="F81" s="30" t="str">
        <f ca="1">IFERROR(IF(SUMIFS(#REF!,#REF!,AutomatedAttendace!#REF!,#REF!,AutomatedAttendace!#REF!)/$F$8&gt;$D$7,"P","A"),"A")</f>
        <v>A</v>
      </c>
    </row>
    <row r="82" spans="1:6" ht="15.75">
      <c r="A82" s="39" t="s">
        <v>46</v>
      </c>
      <c r="B82" s="30">
        <v>81</v>
      </c>
      <c r="C82" s="31" t="s">
        <v>41</v>
      </c>
      <c r="D82" s="32">
        <v>81</v>
      </c>
      <c r="E82" s="33" t="s">
        <v>121</v>
      </c>
      <c r="F82" s="30" t="str">
        <f ca="1">IFERROR(IF(SUMIFS(#REF!,#REF!,AutomatedAttendace!#REF!,#REF!,AutomatedAttendace!#REF!)/$F$8&gt;$D$7,"P","A"),"A")</f>
        <v>A</v>
      </c>
    </row>
    <row r="83" spans="1:6" ht="15.75">
      <c r="A83" s="39" t="s">
        <v>47</v>
      </c>
      <c r="B83" s="30">
        <v>82</v>
      </c>
      <c r="C83" s="31" t="s">
        <v>41</v>
      </c>
      <c r="D83" s="32">
        <v>82</v>
      </c>
      <c r="E83" s="33" t="s">
        <v>122</v>
      </c>
      <c r="F83" s="30" t="str">
        <f ca="1">IFERROR(IF(SUMIFS(#REF!,#REF!,AutomatedAttendace!#REF!,#REF!,AutomatedAttendace!#REF!)/$F$8&gt;$D$7,"P","A"),"A")</f>
        <v>A</v>
      </c>
    </row>
    <row r="84" spans="1:6" ht="15.75">
      <c r="A84" s="39" t="s">
        <v>48</v>
      </c>
      <c r="B84" s="30">
        <v>83</v>
      </c>
      <c r="C84" s="31" t="s">
        <v>41</v>
      </c>
      <c r="D84" s="32">
        <v>83</v>
      </c>
      <c r="E84" s="33" t="s">
        <v>123</v>
      </c>
      <c r="F84" s="30" t="str">
        <f ca="1">IFERROR(IF(SUMIFS(#REF!,#REF!,AutomatedAttendace!#REF!,#REF!,AutomatedAttendace!#REF!)/$F$8&gt;$D$7,"P","A"),"A")</f>
        <v>A</v>
      </c>
    </row>
    <row r="85" spans="1:6" ht="15.75">
      <c r="A85" s="39" t="s">
        <v>49</v>
      </c>
      <c r="B85" s="30">
        <v>84</v>
      </c>
      <c r="C85" s="31" t="s">
        <v>41</v>
      </c>
      <c r="D85" s="32">
        <v>84</v>
      </c>
      <c r="E85" s="33" t="s">
        <v>124</v>
      </c>
      <c r="F85" s="30" t="str">
        <f ca="1">IFERROR(IF(SUMIFS(#REF!,#REF!,AutomatedAttendace!#REF!,#REF!,AutomatedAttendace!#REF!)/$F$8&gt;$D$7,"P","A"),"A")</f>
        <v>A</v>
      </c>
    </row>
    <row r="86" spans="1:6" ht="15.75">
      <c r="A86" s="39" t="s">
        <v>50</v>
      </c>
      <c r="B86" s="30">
        <v>85</v>
      </c>
      <c r="C86" s="31" t="s">
        <v>41</v>
      </c>
      <c r="D86" s="32">
        <v>85</v>
      </c>
      <c r="E86" s="33" t="s">
        <v>125</v>
      </c>
      <c r="F86" s="30" t="str">
        <f ca="1">IFERROR(IF(SUMIFS(#REF!,#REF!,AutomatedAttendace!#REF!,#REF!,AutomatedAttendace!#REF!)/$F$8&gt;$D$7,"P","A"),"A")</f>
        <v>A</v>
      </c>
    </row>
    <row r="87" spans="1:6" ht="15.75">
      <c r="A87" s="39" t="s">
        <v>51</v>
      </c>
      <c r="B87" s="30">
        <v>86</v>
      </c>
      <c r="C87" s="31" t="s">
        <v>41</v>
      </c>
      <c r="D87" s="32">
        <v>86</v>
      </c>
      <c r="E87" s="33" t="s">
        <v>126</v>
      </c>
      <c r="F87" s="30" t="str">
        <f ca="1">IFERROR(IF(SUMIFS(#REF!,#REF!,AutomatedAttendace!#REF!,#REF!,AutomatedAttendace!#REF!)/$F$8&gt;$D$7,"P","A"),"A")</f>
        <v>A</v>
      </c>
    </row>
    <row r="88" spans="1:6" ht="15.75">
      <c r="A88" s="39" t="s">
        <v>52</v>
      </c>
      <c r="B88" s="30">
        <v>87</v>
      </c>
      <c r="C88" s="31" t="s">
        <v>41</v>
      </c>
      <c r="D88" s="32">
        <v>87</v>
      </c>
      <c r="E88" s="33" t="s">
        <v>127</v>
      </c>
      <c r="F88" s="30" t="str">
        <f ca="1">IFERROR(IF(SUMIFS(#REF!,#REF!,AutomatedAttendace!#REF!,#REF!,AutomatedAttendace!#REF!)/$F$8&gt;$D$7,"P","A"),"A")</f>
        <v>A</v>
      </c>
    </row>
    <row r="89" spans="1:6" ht="15.75">
      <c r="A89" s="39" t="s">
        <v>53</v>
      </c>
      <c r="B89" s="30">
        <v>88</v>
      </c>
      <c r="C89" s="31" t="s">
        <v>41</v>
      </c>
      <c r="D89" s="32">
        <v>88</v>
      </c>
      <c r="E89" s="33" t="s">
        <v>128</v>
      </c>
      <c r="F89" s="30" t="str">
        <f ca="1">IFERROR(IF(SUMIFS(#REF!,#REF!,AutomatedAttendace!#REF!,#REF!,AutomatedAttendace!#REF!)/$F$8&gt;$D$7,"P","A"),"A")</f>
        <v>A</v>
      </c>
    </row>
    <row r="90" spans="1:6" ht="15.75">
      <c r="A90" s="39" t="s">
        <v>54</v>
      </c>
      <c r="B90" s="30">
        <v>89</v>
      </c>
      <c r="C90" s="31" t="s">
        <v>41</v>
      </c>
      <c r="D90" s="32">
        <v>89</v>
      </c>
      <c r="E90" s="33" t="s">
        <v>129</v>
      </c>
      <c r="F90" s="30" t="str">
        <f ca="1">IFERROR(IF(SUMIFS(#REF!,#REF!,AutomatedAttendace!#REF!,#REF!,AutomatedAttendace!#REF!)/$F$8&gt;$D$7,"P","A"),"A")</f>
        <v>A</v>
      </c>
    </row>
    <row r="91" spans="1:6" ht="15.75">
      <c r="A91" s="39" t="s">
        <v>55</v>
      </c>
      <c r="B91" s="30">
        <v>90</v>
      </c>
      <c r="C91" s="31" t="s">
        <v>41</v>
      </c>
      <c r="D91" s="32">
        <v>90</v>
      </c>
      <c r="E91" s="33" t="s">
        <v>130</v>
      </c>
      <c r="F91" s="30" t="str">
        <f ca="1">IFERROR(IF(SUMIFS(#REF!,#REF!,AutomatedAttendace!#REF!,#REF!,AutomatedAttendace!#REF!)/$F$8&gt;$D$7,"P","A"),"A")</f>
        <v>A</v>
      </c>
    </row>
    <row r="92" spans="1:6" ht="15.75">
      <c r="A92" s="39" t="s">
        <v>42</v>
      </c>
      <c r="B92" s="30">
        <v>91</v>
      </c>
      <c r="C92" s="31" t="s">
        <v>41</v>
      </c>
      <c r="D92" s="32">
        <v>91</v>
      </c>
      <c r="E92" s="33" t="s">
        <v>131</v>
      </c>
      <c r="F92" s="30" t="str">
        <f ca="1">IFERROR(IF(SUMIFS(#REF!,#REF!,AutomatedAttendace!#REF!,#REF!,AutomatedAttendace!#REF!)/$F$8&gt;$D$7,"P","A"),"A")</f>
        <v>A</v>
      </c>
    </row>
    <row r="93" spans="1:6" ht="15.75">
      <c r="A93" s="39" t="s">
        <v>43</v>
      </c>
      <c r="B93" s="30">
        <v>92</v>
      </c>
      <c r="C93" s="31" t="s">
        <v>41</v>
      </c>
      <c r="D93" s="32">
        <v>92</v>
      </c>
      <c r="E93" s="33" t="s">
        <v>132</v>
      </c>
      <c r="F93" s="30" t="str">
        <f ca="1">IFERROR(IF(SUMIFS(#REF!,#REF!,AutomatedAttendace!#REF!,#REF!,AutomatedAttendace!#REF!)/$F$8&gt;$D$7,"P","A"),"A")</f>
        <v>A</v>
      </c>
    </row>
    <row r="94" spans="1:6" ht="15.75">
      <c r="A94" s="39" t="s">
        <v>44</v>
      </c>
      <c r="B94" s="30">
        <v>93</v>
      </c>
      <c r="C94" s="31" t="s">
        <v>41</v>
      </c>
      <c r="D94" s="32">
        <v>93</v>
      </c>
      <c r="E94" s="33" t="s">
        <v>133</v>
      </c>
      <c r="F94" s="30" t="str">
        <f ca="1">IFERROR(IF(SUMIFS(#REF!,#REF!,AutomatedAttendace!#REF!,#REF!,AutomatedAttendace!#REF!)/$F$8&gt;$D$7,"P","A"),"A")</f>
        <v>A</v>
      </c>
    </row>
    <row r="95" spans="1:6" ht="15.75">
      <c r="A95" s="39" t="s">
        <v>42</v>
      </c>
      <c r="B95" s="30">
        <v>94</v>
      </c>
      <c r="C95" s="31" t="s">
        <v>41</v>
      </c>
      <c r="D95" s="32">
        <v>94</v>
      </c>
      <c r="E95" s="33" t="s">
        <v>134</v>
      </c>
      <c r="F95" s="30" t="str">
        <f ca="1">IFERROR(IF(SUMIFS(#REF!,#REF!,AutomatedAttendace!#REF!,#REF!,AutomatedAttendace!#REF!)/$F$8&gt;$D$7,"P","A"),"A")</f>
        <v>A</v>
      </c>
    </row>
    <row r="96" spans="1:6" ht="15.75">
      <c r="A96" s="39" t="s">
        <v>43</v>
      </c>
      <c r="B96" s="30">
        <v>95</v>
      </c>
      <c r="C96" s="31" t="s">
        <v>41</v>
      </c>
      <c r="D96" s="32">
        <v>95</v>
      </c>
      <c r="E96" s="33" t="s">
        <v>135</v>
      </c>
      <c r="F96" s="30" t="str">
        <f ca="1">IFERROR(IF(SUMIFS(#REF!,#REF!,AutomatedAttendace!#REF!,#REF!,AutomatedAttendace!#REF!)/$F$8&gt;$D$7,"P","A"),"A")</f>
        <v>A</v>
      </c>
    </row>
    <row r="97" spans="1:6" ht="15.75">
      <c r="A97" s="39" t="s">
        <v>44</v>
      </c>
      <c r="B97" s="30">
        <v>96</v>
      </c>
      <c r="C97" s="31" t="s">
        <v>41</v>
      </c>
      <c r="D97" s="32">
        <v>96</v>
      </c>
      <c r="E97" s="33" t="s">
        <v>136</v>
      </c>
      <c r="F97" s="30" t="str">
        <f ca="1">IFERROR(IF(SUMIFS(#REF!,#REF!,AutomatedAttendace!#REF!,#REF!,AutomatedAttendace!#REF!)/$F$8&gt;$D$7,"P","A"),"A")</f>
        <v>A</v>
      </c>
    </row>
    <row r="98" spans="1:6" ht="15.75">
      <c r="A98" s="39" t="s">
        <v>45</v>
      </c>
      <c r="B98" s="30">
        <v>97</v>
      </c>
      <c r="C98" s="31" t="s">
        <v>41</v>
      </c>
      <c r="D98" s="32">
        <v>97</v>
      </c>
      <c r="E98" s="33" t="s">
        <v>137</v>
      </c>
      <c r="F98" s="30" t="str">
        <f ca="1">IFERROR(IF(SUMIFS(#REF!,#REF!,AutomatedAttendace!#REF!,#REF!,AutomatedAttendace!#REF!)/$F$8&gt;$D$7,"P","A"),"A")</f>
        <v>A</v>
      </c>
    </row>
    <row r="99" spans="1:6" ht="15.75">
      <c r="A99" s="39" t="s">
        <v>46</v>
      </c>
      <c r="B99" s="30">
        <v>98</v>
      </c>
      <c r="C99" s="31" t="s">
        <v>41</v>
      </c>
      <c r="D99" s="32">
        <v>98</v>
      </c>
      <c r="E99" s="33" t="s">
        <v>138</v>
      </c>
      <c r="F99" s="30" t="str">
        <f ca="1">IFERROR(IF(SUMIFS(#REF!,#REF!,AutomatedAttendace!#REF!,#REF!,AutomatedAttendace!#REF!)/$F$8&gt;$D$7,"P","A"),"A")</f>
        <v>A</v>
      </c>
    </row>
    <row r="100" spans="1:6" ht="15.75">
      <c r="A100" s="39" t="s">
        <v>47</v>
      </c>
      <c r="B100" s="30">
        <v>99</v>
      </c>
      <c r="C100" s="31" t="s">
        <v>41</v>
      </c>
      <c r="D100" s="32">
        <v>99</v>
      </c>
      <c r="E100" s="33" t="s">
        <v>139</v>
      </c>
      <c r="F100" s="30" t="str">
        <f ca="1">IFERROR(IF(SUMIFS(#REF!,#REF!,AutomatedAttendace!#REF!,#REF!,AutomatedAttendace!#REF!)/$F$8&gt;$D$7,"P","A"),"A")</f>
        <v>A</v>
      </c>
    </row>
    <row r="101" spans="1:6" ht="16.5" thickBot="1">
      <c r="A101" s="40" t="s">
        <v>48</v>
      </c>
      <c r="B101" s="41">
        <v>100</v>
      </c>
      <c r="C101" s="42" t="s">
        <v>41</v>
      </c>
      <c r="D101" s="43">
        <v>100</v>
      </c>
      <c r="E101" s="44" t="s">
        <v>140</v>
      </c>
      <c r="F101" s="41" t="str">
        <f ca="1">IFERROR(IF(SUMIFS(#REF!,#REF!,AutomatedAttendace!#REF!,#REF!,AutomatedAttendace!#REF!)/$F$8&gt;$D$7,"P","A"),"A")</f>
        <v>A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F34790-B823-4570-971F-BC1CF6FB773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24</vt:i4>
      </vt:variant>
    </vt:vector>
  </HeadingPairs>
  <TitlesOfParts>
    <vt:vector size="32" baseType="lpstr">
      <vt:lpstr>MITSOE-AERO-2019</vt:lpstr>
      <vt:lpstr>MITSOE-AERO-2018</vt:lpstr>
      <vt:lpstr>MITSOE-AERO-2017</vt:lpstr>
      <vt:lpstr>ReadMe</vt:lpstr>
      <vt:lpstr>AutomatedAttendace</vt:lpstr>
      <vt:lpstr>Attendance</vt:lpstr>
      <vt:lpstr>DailyAttendance</vt:lpstr>
      <vt:lpstr>Output</vt:lpstr>
      <vt:lpstr>Attendance!ExternalData_1</vt:lpstr>
      <vt:lpstr>Attendance!ExternalData_10</vt:lpstr>
      <vt:lpstr>Attendance!ExternalData_11</vt:lpstr>
      <vt:lpstr>Attendance!ExternalData_14</vt:lpstr>
      <vt:lpstr>Attendance!ExternalData_16</vt:lpstr>
      <vt:lpstr>Attendance!ExternalData_17</vt:lpstr>
      <vt:lpstr>Attendance!ExternalData_18</vt:lpstr>
      <vt:lpstr>Attendance!ExternalData_19</vt:lpstr>
      <vt:lpstr>Attendance!ExternalData_2</vt:lpstr>
      <vt:lpstr>Attendance!ExternalData_20</vt:lpstr>
      <vt:lpstr>Attendance!ExternalData_21</vt:lpstr>
      <vt:lpstr>Attendance!ExternalData_23</vt:lpstr>
      <vt:lpstr>Attendance!ExternalData_24</vt:lpstr>
      <vt:lpstr>Attendance!ExternalData_25</vt:lpstr>
      <vt:lpstr>Attendance!ExternalData_26</vt:lpstr>
      <vt:lpstr>Attendance!ExternalData_27</vt:lpstr>
      <vt:lpstr>Attendance!ExternalData_28</vt:lpstr>
      <vt:lpstr>Attendance!ExternalData_3</vt:lpstr>
      <vt:lpstr>Attendance!ExternalData_4</vt:lpstr>
      <vt:lpstr>Attendance!ExternalData_5</vt:lpstr>
      <vt:lpstr>Attendance!ExternalData_6</vt:lpstr>
      <vt:lpstr>Attendance!ExternalData_7</vt:lpstr>
      <vt:lpstr>Attendance!ExternalData_8</vt:lpstr>
      <vt:lpstr>Attendance!ExternalData_9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CVK</dc:creator>
  <cp:lastModifiedBy>admin</cp:lastModifiedBy>
  <dcterms:created xsi:type="dcterms:W3CDTF">2020-05-11T07:25:24Z</dcterms:created>
  <dcterms:modified xsi:type="dcterms:W3CDTF">2020-08-28T19:43:43Z</dcterms:modified>
</cp:coreProperties>
</file>